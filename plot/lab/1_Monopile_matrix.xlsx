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d_Wave Siting Conditions" sheetId="1" r:id="rId4"/>
    <sheet state="visible" name="Condensed Overview of Testing" sheetId="2" r:id="rId5"/>
    <sheet state="visible" name="Condensed Detailed Testing Sche" sheetId="3" r:id="rId6"/>
    <sheet state="visible" name="notes" sheetId="4" r:id="rId7"/>
    <sheet state="visible" name="Run Log" sheetId="5" r:id="rId8"/>
    <sheet state="visible" name="Overview of Testing" sheetId="6" r:id="rId9"/>
    <sheet state="visible" name="Detailed Testing Schedule" sheetId="7" r:id="rId10"/>
    <sheet state="visible" name="Action Items" sheetId="8" r:id="rId11"/>
  </sheets>
  <definedNames/>
  <calcPr/>
  <extLst>
    <ext uri="GoogleSheetsCustomDataVersion2">
      <go:sheetsCustomData xmlns:go="http://customooxmlschemas.google.com/" r:id="rId12" roundtripDataChecksum="XpsrH+cmUozggzQosCPGORQt50i7b/KmNsfgtAz4+r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29">
      <text>
        <t xml:space="preserve">======
ID#AAACAVJB2cw
Gustavo A. Araujo    (2026-08-25 23:23:30)
Missing in Drive</t>
      </text>
    </comment>
    <comment authorId="0" ref="E617">
      <text>
        <t xml:space="preserve">======
ID#AAACAVJB2cs
Gustavo A. Araujo    (2026-08-25 23:23:11)
missing in Drive</t>
      </text>
    </comment>
  </commentList>
  <extLst>
    <ext uri="GoogleSheetsCustomDataVersion2">
      <go:sheetsCustomData xmlns:go="http://customooxmlschemas.google.com/" r:id="rId1" roundtripDataSignature="AMtx7mgOhYDxTU2Z77Mbgbxjj725cJovEw=="/>
    </ext>
  </extLst>
</comments>
</file>

<file path=xl/sharedStrings.xml><?xml version="1.0" encoding="utf-8"?>
<sst xmlns="http://schemas.openxmlformats.org/spreadsheetml/2006/main" count="4075" uniqueCount="2189">
  <si>
    <t>Summary of want to know</t>
  </si>
  <si>
    <t>Full scale - OC3 Monopile Conditions</t>
  </si>
  <si>
    <t>r</t>
  </si>
  <si>
    <t>Summary</t>
  </si>
  <si>
    <t>Week 0</t>
  </si>
  <si>
    <t>Preparation, connect PC/Speedgoat; MTS</t>
  </si>
  <si>
    <t>Model scale</t>
  </si>
  <si>
    <t>Week 1</t>
  </si>
  <si>
    <t>Offline cases (hold case - solitary waves, sDOF); Vary wind/wave conditions for OC3 Monopile</t>
  </si>
  <si>
    <t>Week 2</t>
  </si>
  <si>
    <t>Vary wind/wave conditions for East coast conditions</t>
  </si>
  <si>
    <t>Week 3</t>
  </si>
  <si>
    <t>Vary soil model (ssi p-y, ssi bridge, parallel processing)</t>
  </si>
  <si>
    <t>vary wave condition (reg, irreg, steep, breaking, solitary)</t>
  </si>
  <si>
    <t>Week 4</t>
  </si>
  <si>
    <t xml:space="preserve">RTHS delay studies, vary similitude; </t>
  </si>
  <si>
    <t>Week 5</t>
  </si>
  <si>
    <t>offline no aerodyn</t>
  </si>
  <si>
    <t>vary numerical model (ssi p-y, ssi bridge, ssi flexural spring, sDOF)</t>
  </si>
  <si>
    <t>Week 6</t>
  </si>
  <si>
    <t>Repeatability, soFAR buoy?, cleanup</t>
  </si>
  <si>
    <t>Steady, LC1</t>
  </si>
  <si>
    <t>H0p5_T3</t>
  </si>
  <si>
    <t>Turb, LC2</t>
  </si>
  <si>
    <t>More Turb, LC3</t>
  </si>
  <si>
    <t>vary scale factor for sDOF</t>
  </si>
  <si>
    <t>EARLY PREPARATION</t>
  </si>
  <si>
    <t>vary scaling law (Re, Fr, Ca, Fr-Ca)</t>
  </si>
  <si>
    <t>Day 1 - Mon 7/13</t>
  </si>
  <si>
    <t>consistency of RTHS</t>
  </si>
  <si>
    <t>repeatability studies</t>
  </si>
  <si>
    <t>offline vs online (hold)</t>
  </si>
  <si>
    <t>Legend</t>
  </si>
  <si>
    <t>wind condition</t>
  </si>
  <si>
    <t>wave condition</t>
  </si>
  <si>
    <t>general</t>
  </si>
  <si>
    <t>First day</t>
  </si>
  <si>
    <t>For controls:</t>
  </si>
  <si>
    <t>Day 2 - Tues 7/14</t>
  </si>
  <si>
    <t>Day 3 - Wed 7/15</t>
  </si>
  <si>
    <t xml:space="preserve">comparision between with wave and without wave </t>
  </si>
  <si>
    <t>Investigate the delay effect on the RTHS loop</t>
  </si>
  <si>
    <t>add delay of the actuation command</t>
  </si>
  <si>
    <t>Day 4 - Thurs 7/16</t>
  </si>
  <si>
    <t>Day 5 - Fri 7/17</t>
  </si>
  <si>
    <t xml:space="preserve">add delay on the feedback signal of the controller </t>
  </si>
  <si>
    <t>Morning</t>
  </si>
  <si>
    <t>desynchronize the command the feedback of RTHS</t>
  </si>
  <si>
    <t>Delay (yni)</t>
  </si>
  <si>
    <t>Afternoon</t>
  </si>
  <si>
    <t>Preparation</t>
  </si>
  <si>
    <t>loading case
(LC)</t>
  </si>
  <si>
    <t xml:space="preserve"> type</t>
  </si>
  <si>
    <t>Each test ~12min, tuning/settle time ~8min</t>
  </si>
  <si>
    <t>Evening</t>
  </si>
  <si>
    <t>wave case:</t>
  </si>
  <si>
    <t>(all with turbulent wind)</t>
  </si>
  <si>
    <t>regular wave</t>
  </si>
  <si>
    <t>irregular wave</t>
  </si>
  <si>
    <t>Last day</t>
  </si>
  <si>
    <t>wind speed</t>
  </si>
  <si>
    <t>extreme wave</t>
  </si>
  <si>
    <t>delay case:</t>
  </si>
  <si>
    <t>same delay in the motion feedback signal to the actutor and force feedback signal to the numerical model (should already conducted for normal test)</t>
  </si>
  <si>
    <t>no delay in the motion feedback signal to the actutor and but delay in force feedback signal to the numerical model</t>
  </si>
  <si>
    <t>wind spectra</t>
  </si>
  <si>
    <t>increased delay but same delay in the motion feedback signal to the actutor and force feedback signal to the numerical model</t>
  </si>
  <si>
    <t>wave height</t>
  </si>
  <si>
    <t>wave period</t>
  </si>
  <si>
    <t>water depth</t>
  </si>
  <si>
    <t xml:space="preserve">sampling rate </t>
  </si>
  <si>
    <t>spectra</t>
  </si>
  <si>
    <t xml:space="preserve">cutoff frequency of filter 2nd butterworth </t>
  </si>
  <si>
    <t>simulation duration</t>
  </si>
  <si>
    <t>water depth @ specimen</t>
  </si>
  <si>
    <t>length scale</t>
  </si>
  <si>
    <t>ramp up for wave</t>
  </si>
  <si>
    <t>v</t>
  </si>
  <si>
    <t>H</t>
  </si>
  <si>
    <t>Tuning only by ourselves</t>
  </si>
  <si>
    <t>T</t>
  </si>
  <si>
    <t>h</t>
  </si>
  <si>
    <t>TMAX</t>
  </si>
  <si>
    <r>
      <rPr>
        <rFont val="Calibri"/>
        <color rgb="FF000000"/>
        <sz val="11.0"/>
      </rPr>
      <t>λ</t>
    </r>
    <r>
      <rPr>
        <rFont val="Calibri"/>
        <color rgb="FF000000"/>
        <sz val="12.0"/>
      </rPr>
      <t>L</t>
    </r>
  </si>
  <si>
    <t>-</t>
  </si>
  <si>
    <t>m/s</t>
  </si>
  <si>
    <t>Tasks</t>
  </si>
  <si>
    <t>m</t>
  </si>
  <si>
    <t xml:space="preserve">sample delay at frequency 1/3Hz </t>
  </si>
  <si>
    <t>Connect PC/Speedgoat; Ensure communication</t>
  </si>
  <si>
    <t>Tested case</t>
  </si>
  <si>
    <t>for the wind and wave case that has been tested without any filter so that i can compare later.  (ideally tested for regular wave, irregular wave and extreme wave)</t>
  </si>
  <si>
    <t>same delay in the motion feedback signal to the actutor and force feedback signal to the numerical model</t>
  </si>
  <si>
    <t>s</t>
  </si>
  <si>
    <t>Total days</t>
  </si>
  <si>
    <t>shallow</t>
  </si>
  <si>
    <t>steady</t>
  </si>
  <si>
    <t>reg</t>
  </si>
  <si>
    <t>https://iopscience.iop.org/article/10.1088/1742-6596/75/1/012071/pdf</t>
  </si>
  <si>
    <t>Verify Matlab, OpenFAST, OpenSees runs</t>
  </si>
  <si>
    <t>Communication verification studies</t>
  </si>
  <si>
    <t>turbulent</t>
  </si>
  <si>
    <t>irreg</t>
  </si>
  <si>
    <t>Tuning requires wave maker and qualysis</t>
  </si>
  <si>
    <t>FLUME SETTING UP</t>
  </si>
  <si>
    <t>Day 1 - Mon 7/20</t>
  </si>
  <si>
    <t>Day 2 - Tues 7/21</t>
  </si>
  <si>
    <t>Day 3 - Wed 7/22</t>
  </si>
  <si>
    <t>Day 4 - Thurs 7/23</t>
  </si>
  <si>
    <t>Day 5 - Fri 7/24</t>
  </si>
  <si>
    <t>Wave</t>
  </si>
  <si>
    <t>Weekend excluded</t>
  </si>
  <si>
    <t>No waves</t>
  </si>
  <si>
    <t>Testing</t>
  </si>
  <si>
    <t>Date</t>
  </si>
  <si>
    <t>Time</t>
  </si>
  <si>
    <t>MTS Saved Data Name</t>
  </si>
  <si>
    <t>OpenSees</t>
  </si>
  <si>
    <t>Modified Data Name</t>
  </si>
  <si>
    <t>RTHS Trial</t>
  </si>
  <si>
    <t>Wave Lab Trial</t>
  </si>
  <si>
    <t>Wave Height (m)</t>
  </si>
  <si>
    <t>Wave Period (s)</t>
  </si>
  <si>
    <t>Controls</t>
  </si>
  <si>
    <t>Notes</t>
  </si>
  <si>
    <t>Saved file location</t>
  </si>
  <si>
    <t>test run 19</t>
  </si>
  <si>
    <t xml:space="preserve">window 0.05s; span 0.001%; delay rate lim 0.02 </t>
  </si>
  <si>
    <t>crunchy sounding</t>
  </si>
  <si>
    <t>C:\projects\RTHS_Monopile\0_sDOF_model\post_process\saved_runs\20260723\recorder_20260723_090717.mat</t>
  </si>
  <si>
    <t>test run 20</t>
  </si>
  <si>
    <t xml:space="preserve">window 0.01s; span 0.001%; delay rate lim 0.02 </t>
  </si>
  <si>
    <t>less cronch</t>
  </si>
  <si>
    <t>C:\projects\RTHS_Monopile\0_sDOF_model\post_process\saved_runs\20260723\recorder_20260723_090842.mat</t>
  </si>
  <si>
    <t>test run 21</t>
  </si>
  <si>
    <t xml:space="preserve">window 0.001s; span 0.001%; delay rate lim 0.02 </t>
  </si>
  <si>
    <t>G:\Shared drives\Liu_Elaine\6_Test Data\Monopile Testing!!\SAVED_DATA\20260723\recorder_20260723_091044.mat</t>
  </si>
  <si>
    <t>test run 22</t>
  </si>
  <si>
    <t xml:space="preserve">window 0.005s; span 0.001%; delay rate lim 0.02 </t>
  </si>
  <si>
    <t>G:\Shared drives\Liu_Elaine\6_Test Data\Monopile Testing!!\SAVED_DATA\20260723\recorder_20260723_091224.mat</t>
  </si>
  <si>
    <t>test run 24</t>
  </si>
  <si>
    <t>withoutAFC</t>
  </si>
  <si>
    <t>G:\Shared drives\Liu_Elaine\6_Test Data\Monopile Testing!!\SAVED_DATA\20260723\recorder_20260723_091650.mat</t>
  </si>
  <si>
    <t>test run 26</t>
  </si>
  <si>
    <t xml:space="preserve">window 0.0005s; span 0.001%; delay rate lim 0.02 </t>
  </si>
  <si>
    <t>too high external command; exceeded limits</t>
  </si>
  <si>
    <t>G:\Shared drives\Liu_Elaine\6_Test Data\Monopile Testing!!\SAVED_DATA\20260723\recorder_20260723_092714.mat</t>
  </si>
  <si>
    <t>test run 35</t>
  </si>
  <si>
    <t xml:space="preserve">window 0.1s; span 0.001%; delay rate lim 0.02 </t>
  </si>
  <si>
    <t>restarting speedgoat helped</t>
  </si>
  <si>
    <t>End work</t>
  </si>
  <si>
    <t>C:\projects\RTHS_Monopile\0_sDOF_model\post_process\saved_runs\20260723\window0p1_span0p001_rateLim0p02</t>
  </si>
  <si>
    <t>test run 37</t>
  </si>
  <si>
    <t xml:space="preserve">window 0.0025s; span 0.001%; delay rate lim 0.02 </t>
  </si>
  <si>
    <t>G:\Shared drives\Liu_Elaine\6_Test Data\Monopile Testing!!\SAVED_DATA\20260723\recorder_20260723_100350.mat</t>
  </si>
  <si>
    <t>test run 39</t>
  </si>
  <si>
    <t xml:space="preserve">window 0.0025s; span 0.01%; delay rate lim 0.02 </t>
  </si>
  <si>
    <t>changed span</t>
  </si>
  <si>
    <t>G:\Shared drives\Liu_Elaine\6_Test Data\Monopile Testing!!\SAVED_DATA\20260723\recorder_20260723_100932.mat</t>
  </si>
  <si>
    <t>test run 40</t>
  </si>
  <si>
    <t xml:space="preserve">window 0.0025s; span 0.0005%; delay rate lim 0.02 </t>
  </si>
  <si>
    <t>AFC spikes, exceeded limits</t>
  </si>
  <si>
    <t>test run</t>
  </si>
  <si>
    <t>LUNCH BREAK</t>
  </si>
  <si>
    <t xml:space="preserve">standard </t>
  </si>
  <si>
    <t>-&gt;</t>
  </si>
  <si>
    <t>trying lower frequency 0.35Hz; earlier was 1Hz</t>
  </si>
  <si>
    <t>G:\Shared drives\Liu_Elaine\6_Test Data\Monopile Testing!!\SAVED_DATA\20260723\recorder_20260723_105810.mat</t>
  </si>
  <si>
    <t>gain1;delay 0.033s; window1;span0.004; bandwidth50</t>
  </si>
  <si>
    <t>trying Akiri AFC</t>
  </si>
  <si>
    <t>test run 45</t>
  </si>
  <si>
    <t>without AFC</t>
  </si>
  <si>
    <t>running freq 0.86Hz (full scale 4s)</t>
  </si>
  <si>
    <t>G:\Shared drives\Liu_Elaine\6_Test Data\Monopile Testing!!\SAVED_DATA\20260723\recorder_20260723_112515.mat</t>
  </si>
  <si>
    <t>vals: gain1;delay 0s; window1;span0.004; bandwidth50; allowabledelay:0</t>
  </si>
  <si>
    <t>changed expected and allowable delay; 3rad/s</t>
  </si>
  <si>
    <t>G:\Shared drives\Liu_Elaine\6_Test Data\Monopile Testing!!\SAVED_DATA\20260723\recorder_20260723_114202.mat</t>
  </si>
  <si>
    <t>test run 52</t>
  </si>
  <si>
    <t>3.5 rad/s</t>
  </si>
  <si>
    <t>G:\Shared drives\Liu_Elaine\6_Test Data\Monopile Testing!!\SAVED_DATA\20260723\recorder_20260723_114600.mat</t>
  </si>
  <si>
    <t>test run 53</t>
  </si>
  <si>
    <t>4 rad/s</t>
  </si>
  <si>
    <t>test run 54</t>
  </si>
  <si>
    <t>4.5 rad/s</t>
  </si>
  <si>
    <t>G:\Shared drives\Liu_Elaine\6_Test Data\Monopile Testing!!\SAVED_DATA\20260723\recorder_20260723_115010.mat</t>
  </si>
  <si>
    <t>test run 55</t>
  </si>
  <si>
    <t>5.4 rad/s</t>
  </si>
  <si>
    <t>G:\Shared drives\Liu_Elaine\6_Test Data\Monopile Testing!!\SAVED_DATA\20260723\recorder_20260723_115156.mat</t>
  </si>
  <si>
    <t>added lagrange polynomial (order3,n50,m0,x3)</t>
  </si>
  <si>
    <t>Wind</t>
  </si>
  <si>
    <t>Daily Task #</t>
  </si>
  <si>
    <t>Who</t>
  </si>
  <si>
    <t>to</t>
  </si>
  <si>
    <t>https://pdf.sciencedirectassets.com/271462/1-s2.0-S0029801825X00354/1-s2.0-S0029801825030586/main.pdf?X-Amz-Security-Token=IQoJb3JpZ2luX2VjEGUaCXVzLWVhc3QtMSJHMEUCIBf%2BVffPm6HhOIahgvgLQL78D3Ys0ros990hebWk3gEcAiEAn4Dvr02xROubi4dEJRHf0EsWvtozS4I7zZqi5wUfd8cqsgUILhAFGgwwNTkwMDM1NDY4NjUiDLfNjt58bzwE1rp2SCqPBeZqbjt3VaD60%2FmEiGYtL%2Bs2mngePyDE4tumUohlspveHKB7reCJbvp0WbnXKp3K3hFE%2FQtAxU74JIm9xrlFpF3KCufVJl1LTfEHADakecO173Hwpr3b7%2Bu1MJbTN9oIAIGx9L%2FkYpK22U15bA%2Bj0Kk7nrLPTS2m%2BknkKIUKRw07m%2Bg%2Fd5vx7EqkTZ1D49EUDCRXK3A3CLDBzmAUnq91N13fp5uzyYofDVohfBP44qy1WZXJ5K7E6gLkgb2BAnnum41TtPrPRDiEKLHpe4LeqX2x0V3MSWNSqyl9nn1H0JIICgameMTEoc5llOslaW9H7IyBCRnsqDhwW7uDvtREertokzZkXaipou1CIXfIpJLbma9%2BnrpiSPg3aSYnjLk9DvWUwg8XeT4YxHfD114FBccDafdrPv20iS83UUDkujgr%2Fs2TYH2nKyBPt36jvFGhmVQiUgUaxD%2Fa96vVHlV5N9Wrfi3wxcY5RgmVVjLIAdwstkrDgMd4IVWYlaSGJgrOUe1yJq3AX%2B9ndR4ySWNKyJmxiDx0fvZCQfyMUgL7J8q%2BuiGs8%2FDrnlmkHoczIrflEd7mWXK7pSWwymc888tkJj58B6%2FWw8GJvsCdMJsHHlANYUQinM9sE4svcGGgqGOAuZxs9%2F9%2BIwvJMWBSemKoAEN%2B4BfFazDWGrSYlxQx5l4MCKR%2FSlmKpiOBDgvdF%2BeA2rR0QQmMmt50HbVFym5G1Q%2BNA8z0LKoNX2p%2FIVIAXBv6r9vmsdXmA4Wf9nSH83bk0JkVct40C8QMWp6j6CtQwd29og6PgLYlc3F2f3VUoIbbhcvH8xfse8x3d%2F5%2FVdPdAXbdwiXq5CQ3%2BOvdKwfS3Ac2zCo0Ve3nyDAPCH8WRAowuoH90AY6sQF%2FsSLJpJBZ8DdteeuG%2BfhXYHf9K6SKUK3aV7mQx2kFInn01jKLYCCZM0iC3kII8fXlSFxUrtfQMLzAYfYog8VSPYYsuTDaUkLu5i2TNBAdDunxpMIeMqsRZA8km%2BTZaDKSwLvR7Xd8i6v%2BUftSsfbdmhTxAjLKAPWvQdmfm4%2FqN4MmAZXF7d3cx%2FAD7VlRADCBkN0m8Xrj7BVQ3MwHJ%2FXJQv13QvJx%2Fb%2Fyeq4Hc78oPgs%3D&amp;X-Amz-Algorithm=AWS4-HMAC-SHA256&amp;X-Amz-Date=20260602T205538Z&amp;X-Amz-SignedHeaders=host&amp;X-Amz-Expires=300&amp;X-Amz-Credential=ASIAQ3PHCVTYW7CCRCNL%2F20260602%2Fus-east-1%2Fs3%2Faws4_request&amp;X-Amz-Signature=8e857fb867a33a0e53abad61f931216daa84e1d735a2ae0797679ee5f1d2de97&amp;hash=641c9672201bf934d2a16428f22d954e4bb5f9ad852825cd060ba5533db3ac61&amp;host=68042c943591013ac2b2430a89b270f6af2c76d8dfd086a07176afe7c76c2c61&amp;pii=S0029801825030586&amp;tid=spdf-c5809e31-b07e-44d2-8364-e6df057342f2&amp;sid=aed3e74f4bf3324ef70ac36349702e887e05gxrqa&amp;type=client&amp;tsoh=d3d3LnNjaWVuY2VkaXJlY3QuY29t&amp;rh=d3d3LnNjaWVuY2VkaXJlY3QuY29t&amp;ua=0f150e5350585a0d545d51&amp;rr=a0595c326a4403c2&amp;cc=us</t>
  </si>
  <si>
    <t xml:space="preserve">Note the below is all with water depth of 2m. </t>
  </si>
  <si>
    <t>Full scale - East Coast site</t>
  </si>
  <si>
    <t>Test Run 59</t>
  </si>
  <si>
    <t>N/A</t>
  </si>
  <si>
    <t>solitary_H0p169_hold1.mat</t>
  </si>
  <si>
    <t>0.169m</t>
  </si>
  <si>
    <t>Solitary wave</t>
  </si>
  <si>
    <t>Hold condition, external command set to 0</t>
  </si>
  <si>
    <t>super small wave height; did not break</t>
  </si>
  <si>
    <t>G:\Shared drives\Liu_Elaine\6_Test Data\Monopile Testing!!\SAVED_DATA\sDOF\20260731\recorder_20260731_093029.mat</t>
  </si>
  <si>
    <t>Test Run 60</t>
  </si>
  <si>
    <t>solitary_H0p169_hold2.mat</t>
  </si>
  <si>
    <t xml:space="preserve">Hold </t>
  </si>
  <si>
    <t>repeatability pt 2</t>
  </si>
  <si>
    <t>G:\Shared drives\Liu_Elaine\6_Test Data\Monopile Testing!!\SAVED_DATA\sDOF\20260731\recorder_20260731_094941.mat</t>
  </si>
  <si>
    <t>Test Run 61</t>
  </si>
  <si>
    <t>solitary_H0p384_hold1.mat</t>
  </si>
  <si>
    <t>0.384m</t>
  </si>
  <si>
    <t>slight bigger wave; a bit splashing on the structure</t>
  </si>
  <si>
    <t>G:\Shared drives\Liu_Elaine\6_Test Data\Monopile Testing!!\SAVED_DATA\sDOF\20260731\recorder_20260731_100836.mat</t>
  </si>
  <si>
    <t>Test Run 62</t>
  </si>
  <si>
    <t>solitary_H0p384_hold2.mat</t>
  </si>
  <si>
    <t>some splash surrounding it , not broken</t>
  </si>
  <si>
    <t>G:\Shared drives\Liu_Elaine\6_Test Data\Monopile Testing!!\SAVED_DATA\sDOF\20260731\recorder_20260731_102646.mat</t>
  </si>
  <si>
    <t>Test Run 63</t>
  </si>
  <si>
    <t>solitary_H0p508_hold1.mat</t>
  </si>
  <si>
    <t>0.508m</t>
  </si>
  <si>
    <t>more surrounding radiating waves, but unbroken</t>
  </si>
  <si>
    <t>G:\Shared drives\Liu_Elaine\6_Test Data\Monopile Testing!!\SAVED_DATA\sDOF\20260731\recorder_20260731_104459.mat</t>
  </si>
  <si>
    <t>Test Run 64</t>
  </si>
  <si>
    <t>solitary_H0p508_hold2.mat</t>
  </si>
  <si>
    <t>^^</t>
  </si>
  <si>
    <t>G:\Shared drives\Liu_Elaine\6_Test Data\Monopile Testing!!\SAVED_DATA\sDOF\20260731\recorder_20260731_110340.mat</t>
  </si>
  <si>
    <t>Test Run 65</t>
  </si>
  <si>
    <t>solitary_H1p0_hold1.mat</t>
  </si>
  <si>
    <t>1.0m</t>
  </si>
  <si>
    <t>breaking</t>
  </si>
  <si>
    <t>G:\Shared drives\Liu_Elaine\6_Test Data\Monopile Testing!!\SAVED_DATA\sDOF\20260731\recorder_20260731_112434.mat</t>
  </si>
  <si>
    <t>Test Run 66</t>
  </si>
  <si>
    <t>solitary_H1p0_hold2.mat</t>
  </si>
  <si>
    <t>G:\Shared drives\Liu_Elaine\6_Test Data\Monopile Testing!!\SAVED_DATA\sDOF\20260731\recorder_20260731_114315.mat</t>
  </si>
  <si>
    <t>Test Run 67</t>
  </si>
  <si>
    <t>solitary_H1p0_hold3.mat</t>
  </si>
  <si>
    <t>G:\Shared drives\Liu_Elaine\6_Test Data\Monopile Testing!!\SAVED_DATA\sDOF\20260731\recorder_20260731_120149.mat</t>
  </si>
  <si>
    <t>After lunch</t>
  </si>
  <si>
    <t>Test Run 68</t>
  </si>
  <si>
    <t>solitary_H1p4_hold1.mat</t>
  </si>
  <si>
    <t>1.4m</t>
  </si>
  <si>
    <t>Hold</t>
  </si>
  <si>
    <t>broken</t>
  </si>
  <si>
    <t>G:\Shared drives\Liu_Elaine\6_Test Data\Monopile Testing!!\SAVED_DATA\sDOF\20260731\recorder_20260731_125405.mat</t>
  </si>
  <si>
    <t>Test Run 69</t>
  </si>
  <si>
    <t>solitary_H1p4_hold2.mat</t>
  </si>
  <si>
    <r>
      <rPr>
        <rFont val="Calibri"/>
        <color theme="1"/>
        <sz val="11.0"/>
      </rPr>
      <t xml:space="preserve">Maine Site: </t>
    </r>
    <r>
      <rPr>
        <rFont val="Calibri"/>
        <color rgb="FF1155CC"/>
        <sz val="11.0"/>
        <u/>
      </rPr>
      <t>https://www.bsee.gov/sites/bsee.gov/files/research-reports/776aa.pdf</t>
    </r>
  </si>
  <si>
    <t>wavemaker faulted</t>
  </si>
  <si>
    <t>G:\Shared drives\Liu_Elaine\6_Test Data\Monopile Testing!!\SAVED_DATA\sDOF\20260731\recorder_20260731_131354.mat</t>
  </si>
  <si>
    <t>Test Run 70</t>
  </si>
  <si>
    <t>G:\Shared drives\Liu_Elaine\6_Test Data\Monopile Testing!!\SAVED_DATA\sDOF\20260731\recorder_20260731_133513.mat</t>
  </si>
  <si>
    <t>Test Run 71</t>
  </si>
  <si>
    <t>solitary_H1p2_hold1.mat</t>
  </si>
  <si>
    <t>1.2m</t>
  </si>
  <si>
    <t>https://www.bsee.gov/sites/bsee.gov/files/research-reports/776aa.pdf</t>
  </si>
  <si>
    <t>Test Run 72</t>
  </si>
  <si>
    <t>solitary_H0p508_hold4.mat</t>
  </si>
  <si>
    <t>forgot to adjust span</t>
  </si>
  <si>
    <t>G:\Shared drives\Liu_Elaine\6_Test Data\Monopile Testing!!\SAVED_DATA\sDOF\20260731\recorder_20260731_142928.mat</t>
  </si>
  <si>
    <t>BELOW IS SDOF RUNS</t>
  </si>
  <si>
    <t>Test Run 73</t>
  </si>
  <si>
    <t>20260731_Trial02_Tn4-sdof/VaryingPeriod</t>
  </si>
  <si>
    <t>solitary_H0p508_sDOF_Period4_Trial02.mat</t>
  </si>
  <si>
    <t>sDOF</t>
  </si>
  <si>
    <t>Period4 with PDelta; with AFC</t>
  </si>
  <si>
    <t>G:\Shared drives\Liu_Elaine\6_Test Data\Monopile Testing!!\SAVED_DATA\sDOF\20260731\recorder_20260731_144820.mat</t>
  </si>
  <si>
    <t>computed per: ~6s by eye</t>
  </si>
  <si>
    <t>Test Run 74</t>
  </si>
  <si>
    <t>20260731_Trial01_Tn4-sdof/Height1p0</t>
  </si>
  <si>
    <t>solitary_H1p0_sDOF_Period4_Trial01.mat</t>
  </si>
  <si>
    <t>1m</t>
  </si>
  <si>
    <t>P4, PDelta, interlock; interlocks tripped, exceeded limit of tempo</t>
  </si>
  <si>
    <t>G:\Shared drives\Liu_Elaine\6_Test Data\Monopile Testing!!\SAVED_DATA\sDOF\20260731\recorder_20260731_150936.mat</t>
  </si>
  <si>
    <t>Test Run 75</t>
  </si>
  <si>
    <t>20260731_Trial01_Tn2-sdof/Height1p0</t>
  </si>
  <si>
    <t>solitary_H1p0_sDOF_Period2_Trial01</t>
  </si>
  <si>
    <t>P2</t>
  </si>
  <si>
    <t>G:\Shared drives\Liu_Elaine\6_Test Data\Monopile Testing!!\SAVED_DATA\sDOF\20260731\recorder_20260731_152126.mat</t>
  </si>
  <si>
    <t>Test Run 76</t>
  </si>
  <si>
    <t>20260731_Trial01_Tn1-sdof/Height1p0</t>
  </si>
  <si>
    <t>solitary_H1p0_sDOF_Period1_Trial01</t>
  </si>
  <si>
    <t>P1; FS 1.0143s</t>
  </si>
  <si>
    <t>G:\Shared drives\Liu_Elaine\6_Test Data\Monopile Testing!!\SAVED_DATA\sDOF\20260731\recorder_20260731_153933.mat</t>
  </si>
  <si>
    <t>Test Run 77</t>
  </si>
  <si>
    <t>20260731_Trial01_Tn1-sdof/Height1p0-Linear</t>
  </si>
  <si>
    <t>solitary_H1p0_sDOF_Period1_Trial01_Linear</t>
  </si>
  <si>
    <r>
      <rPr>
        <rFont val="Calibri"/>
        <color rgb="FF000000"/>
        <sz val="11.0"/>
      </rPr>
      <t>λ</t>
    </r>
    <r>
      <rPr>
        <rFont val="Calibri"/>
        <color rgb="FF000000"/>
        <sz val="12.0"/>
      </rPr>
      <t>L</t>
    </r>
  </si>
  <si>
    <t>P1p0, linear transformation</t>
  </si>
  <si>
    <t>G:\Shared drives\Liu_Elaine\6_Test Data\Monopile Testing!!\SAVED_DATA\sDOF\20260731\recorder_20260731_155930.mat</t>
  </si>
  <si>
    <t>Test Run 78</t>
  </si>
  <si>
    <t>20260731_Trial01_Tn4-sdof/Height0p508-Linear</t>
  </si>
  <si>
    <t>solitary_H0p508_sDOF_Period4_Trial01_Linear</t>
  </si>
  <si>
    <t>P4p0, linear transformation</t>
  </si>
  <si>
    <t>G:\Shared drives\Liu_Elaine\6_Test Data\Monopile Testing!!\SAVED_DATA\sDOF\20260731\recorder_20260731_161817.mat</t>
  </si>
  <si>
    <t>computed per: 4.176 by eye</t>
  </si>
  <si>
    <t>Test Run 79</t>
  </si>
  <si>
    <t>solitary_H0p508_sDOF_Period4_Trial01_Linear_Elastic</t>
  </si>
  <si>
    <t xml:space="preserve">P4p0, linear transformation, changed to elastic material; </t>
  </si>
  <si>
    <t>G:\Shared drives\Liu_Elaine\6_Test Data\Monopile Testing!!\SAVED_DATA\sDOF\20260731\recorder_20260731_170137.mat</t>
  </si>
  <si>
    <t>computed per: 4s</t>
  </si>
  <si>
    <t>Test Run 80</t>
  </si>
  <si>
    <t>looking at signal to see noise from wind generator</t>
  </si>
  <si>
    <t>08/03/2026 - Monday</t>
  </si>
  <si>
    <t>Elaine</t>
  </si>
  <si>
    <t>prepare, set cameras</t>
  </si>
  <si>
    <t>Test</t>
  </si>
  <si>
    <t>Offline</t>
  </si>
  <si>
    <t>RTHS: LC1 (raw cmd)</t>
  </si>
  <si>
    <t>Offline hold: Solitary LC 17</t>
  </si>
  <si>
    <t>Check wave gauge streaming, all communications to sensor/actuator (dummy model)</t>
  </si>
  <si>
    <r>
      <rPr>
        <rFont val="Calibri"/>
        <color theme="1"/>
        <sz val="11.0"/>
      </rPr>
      <t xml:space="preserve">Actuator characterization tests; </t>
    </r>
    <r>
      <rPr>
        <rFont val="Calibri"/>
        <color rgb="FF38761D"/>
        <sz val="11.0"/>
      </rPr>
      <t>Post process data</t>
    </r>
  </si>
  <si>
    <t>Post process data</t>
  </si>
  <si>
    <r>
      <rPr>
        <rFont val="Calibri"/>
        <b/>
        <color rgb="FF4A86E8"/>
      </rPr>
      <t>Summary</t>
    </r>
    <r>
      <rPr>
        <rFont val="Calibri"/>
        <color theme="1"/>
      </rPr>
      <t>: Test actuator and sensors</t>
    </r>
  </si>
  <si>
    <t>Day 1 - Mon 7/27</t>
  </si>
  <si>
    <t>Day 2 - Tues 7/28</t>
  </si>
  <si>
    <t>Day 3 - Wed 7/29</t>
  </si>
  <si>
    <t>Day 4 - Thurs 7/30</t>
  </si>
  <si>
    <t>Day 5 - Fri 7/31</t>
  </si>
  <si>
    <r>
      <rPr>
        <rFont val="Calibri"/>
        <color theme="1"/>
        <sz val="11.0"/>
      </rPr>
      <t xml:space="preserve">Actuator characterization tests; </t>
    </r>
    <r>
      <rPr>
        <rFont val="Calibri"/>
        <color rgb="FF38761D"/>
        <sz val="11.0"/>
      </rPr>
      <t>Post process data</t>
    </r>
  </si>
  <si>
    <r>
      <rPr>
        <rFont val="Calibri"/>
        <b/>
        <color rgb="FF4A86E8"/>
      </rPr>
      <t>Summary</t>
    </r>
    <r>
      <rPr>
        <rFont val="Calibri"/>
        <color theme="1"/>
      </rPr>
      <t>: Test actuator and sensors</t>
    </r>
  </si>
  <si>
    <t>OFFICIAL TESTING</t>
  </si>
  <si>
    <t>Day 1 - Mon 08/03</t>
  </si>
  <si>
    <t>Day 2 - Tues 08/04</t>
  </si>
  <si>
    <t>Day 3 - Wed 08/05</t>
  </si>
  <si>
    <t>Day 4 - Thurs 08/06</t>
  </si>
  <si>
    <t>Day 5 - Fri 08/07</t>
  </si>
  <si>
    <t>Reg LC1</t>
  </si>
  <si>
    <t>Solitary LC13-17</t>
  </si>
  <si>
    <t>Solitary LC15/17</t>
  </si>
  <si>
    <t>shallow/interm.</t>
  </si>
  <si>
    <t>https://www.nlr.gov/wind/nwtc/metocean-data</t>
  </si>
  <si>
    <t>Test Run 81</t>
  </si>
  <si>
    <t>signal_reading</t>
  </si>
  <si>
    <t>None</t>
  </si>
  <si>
    <t>reading force signal, did not poke; wasnt doing oscillation, perhaps because water was still</t>
  </si>
  <si>
    <t>Test Run 82</t>
  </si>
  <si>
    <t>08012026-Testing</t>
  </si>
  <si>
    <t>lagrangeFilt_disp</t>
  </si>
  <si>
    <t>displacement and top/base LC feedbacks have lagrange filtering on; AFC does not have lagrange filtering for velo/accel; POKED to simulate waves; was with inelastic material</t>
  </si>
  <si>
    <t>G:\Shared drives\Liu_Elaine\6_Test Data\Monopile Testing!!\SAVED_DATA\sDOF\20260801\recorder_20260801_110656.mat</t>
  </si>
  <si>
    <t>Test Run 83</t>
  </si>
  <si>
    <t>08012026-Testing-Trial01/Elastic</t>
  </si>
  <si>
    <t>lagrangeFilt_disp_elastic</t>
  </si>
  <si>
    <t>elastic material</t>
  </si>
  <si>
    <t>G:\Shared drives\Liu_Elaine\6_Test Data\Monopile Testing!!\SAVED_DATA\sDOF\20260801\recorder_20260801_111553.mat</t>
  </si>
  <si>
    <t>Test Run 84</t>
  </si>
  <si>
    <t>08012026-Testing-Trial02</t>
  </si>
  <si>
    <t>lagrangeFilt_disp_elastic_noSwitch</t>
  </si>
  <si>
    <t>removed switch after AFC</t>
  </si>
  <si>
    <t>G:\Shared drives\Liu_Elaine\6_Test Data\Monopile Testing!!\SAVED_DATA\sDOF\20260801\recorder_20260801_113423.mat</t>
  </si>
  <si>
    <t>Test Run 85</t>
  </si>
  <si>
    <t>08012026-Testing-Trial03</t>
  </si>
  <si>
    <t>lagrangeFilt_disp_elastic_switch1</t>
  </si>
  <si>
    <t>switch back, but set to 1; switch is wired wrong here</t>
  </si>
  <si>
    <t>Test Run 86</t>
  </si>
  <si>
    <t>08012026-Testing-Trial04</t>
  </si>
  <si>
    <t>lagrangeFilt_disp_elastic_switch25</t>
  </si>
  <si>
    <t>switch set to 25; miswired LC signal</t>
  </si>
  <si>
    <t>Offline hold: Solitary LC 15</t>
  </si>
  <si>
    <t>Test Run 87</t>
  </si>
  <si>
    <t>lagrangeFilt_disp_elastic_switch25_trial02</t>
  </si>
  <si>
    <t>switch set to 25</t>
  </si>
  <si>
    <t>G:\Shared drives\Liu_Elaine\6_Test Data\Monopile Testing!!\SAVED_DATA\sDOF\20260801\recorder_20260801_120145.mat</t>
  </si>
  <si>
    <t>Test Run 88</t>
  </si>
  <si>
    <t>08012026-Testing-RampForce</t>
  </si>
  <si>
    <t>lagrangeFilt_rampedForce</t>
  </si>
  <si>
    <t>ramped up outgoing force commands; weight is 500kip (earlier was 100kip)</t>
  </si>
  <si>
    <t>G:\Shared drives\Liu_Elaine\6_Test Data\Monopile Testing!!\SAVED_DATA\sDOF\20260801\recorder_20260801_122444.mat</t>
  </si>
  <si>
    <t>Test Run 89</t>
  </si>
  <si>
    <t>08012026-Testing-RampForce_W100</t>
  </si>
  <si>
    <t>lagrangeFilt_rampedForce_Trial02</t>
  </si>
  <si>
    <t>weight 100kip; targSig is flatlined!</t>
  </si>
  <si>
    <t>G:\Shared drives\Liu_Elaine\6_Test Data\Monopile Testing!!\SAVED_DATA\sDOF\20260801\recorder_20260801_123209.mat</t>
  </si>
  <si>
    <t>Test Run 90</t>
  </si>
  <si>
    <t>08012026-Testing-RampForce_W500</t>
  </si>
  <si>
    <t>lagrangeFilt_rampedForce_W500_Trial01</t>
  </si>
  <si>
    <t>weight 500kip</t>
  </si>
  <si>
    <t>G:\Shared drives\Liu_Elaine\6_Test Data\Monopile Testing!!\SAVED_DATA\sDOF\20260801\recorder_20260801_123750.mat</t>
  </si>
  <si>
    <t>Test Run 91</t>
  </si>
  <si>
    <t>08012026-Testing-movAvg</t>
  </si>
  <si>
    <t>lagrangeFilt_movAvg</t>
  </si>
  <si>
    <t>mov avg in front lagrange; 10 sample</t>
  </si>
  <si>
    <t>G:\Shared drives\Liu_Elaine\6_Test Data\Monopile Testing!!\SAVED_DATA\sDOF\20260801\recorder_20260801_130220.mat</t>
  </si>
  <si>
    <t>Test Run 92</t>
  </si>
  <si>
    <t>08012026-Testing-movAvg20</t>
  </si>
  <si>
    <t>lagrangeFilt_movAvg20</t>
  </si>
  <si>
    <t>mov avg in front lagrange; 20 sample</t>
  </si>
  <si>
    <t>G:\Shared drives\Liu_Elaine\6_Test Data\Monopile Testing!!\SAVED_DATA\sDOF\20260801\recorder_20260801_130628.mat</t>
  </si>
  <si>
    <t>computed per: 2.1 labscale</t>
  </si>
  <si>
    <t>Test Run 93</t>
  </si>
  <si>
    <t>08012026-Testing-noAFC</t>
  </si>
  <si>
    <t>lagrangeFilt_noAFC</t>
  </si>
  <si>
    <t>no AFC; changed weight to 200kip; no hardware filters, seeing some electrical noise after simulink is turned off; computed periods around 3.5s</t>
  </si>
  <si>
    <t>G:\Shared drives\Liu_Elaine\6_Test Data\Monopile Testing!!\SAVED_DATA\sDOF\20260801\recorder_20260801_131435.mat</t>
  </si>
  <si>
    <t>Test Run 94</t>
  </si>
  <si>
    <t>08012026-Testing-alpha0p5</t>
  </si>
  <si>
    <t>lagrangeFilt_alpha0p5</t>
  </si>
  <si>
    <t>alpha 0.5 for alphaOS; afc turned back on</t>
  </si>
  <si>
    <t>Steady LC1</t>
  </si>
  <si>
    <t>G:\Shared drives\Liu_Elaine\6_Test Data\Monopile Testing!!\SAVED_DATA\sDOF\20260801\recorder_20260801_132654.mat</t>
  </si>
  <si>
    <t>Test Run 95</t>
  </si>
  <si>
    <t>08012026-Testing-N5_param</t>
  </si>
  <si>
    <t>lagrangeFilt_N5param</t>
  </si>
  <si>
    <t>N=5 param; state_OS has some "2"s, period still around 3.6s</t>
  </si>
  <si>
    <t>G:\Shared drives\Liu_Elaine\6_Test Data\Monopile Testing!!\SAVED_DATA\sDOF\20260801\recorder_20260801_134124.mat</t>
  </si>
  <si>
    <t>Steady LC1-3</t>
  </si>
  <si>
    <t>Test Run 96</t>
  </si>
  <si>
    <t>08012026-Testing-AFCLP20Hz/Test</t>
  </si>
  <si>
    <t>lagrangeFilt_AFCLP20</t>
  </si>
  <si>
    <t>Turbulent LC1-3</t>
  </si>
  <si>
    <t>AFC low pass filt to 20Hz; went unstable in beginning; forgot to change Nparam back to 10</t>
  </si>
  <si>
    <t>G:\Shared drives\Liu_Elaine\6_Test Data\Monopile Testing!!\SAVED_DATA\sDOF\20260801\recorder_20260801_134832.mat</t>
  </si>
  <si>
    <t>Test Run 97</t>
  </si>
  <si>
    <t>08012026-Testing-AFCLP20Hz-Trial2/Test</t>
  </si>
  <si>
    <t>lagrangeFilt_AFCLP20_Trial2</t>
  </si>
  <si>
    <t>didnt go unstable</t>
  </si>
  <si>
    <t>G:\Shared drives\Liu_Elaine\6_Test Data\Monopile Testing!!\SAVED_DATA\sDOF\20260801\recorder_20260801_135535.mat</t>
  </si>
  <si>
    <t>Test Run 98</t>
  </si>
  <si>
    <t>08012026-Testing-SF1/Test</t>
  </si>
  <si>
    <t>lagrangeFilt_SF1</t>
  </si>
  <si>
    <t>back to 50Hz afc; set scale factor to 1</t>
  </si>
  <si>
    <t>G:\Shared drives\Liu_Elaine\6_Test Data\Monopile Testing!!\SAVED_DATA\sDOF\20260801\recorder_20260801_140127.mat</t>
  </si>
  <si>
    <t>Test Run 99</t>
  </si>
  <si>
    <t>08012026-Testing-LP10Hz</t>
  </si>
  <si>
    <t>lagrangeFilt_LP10</t>
  </si>
  <si>
    <t>added low pass filter</t>
  </si>
  <si>
    <t>G:\Shared drives\Liu_Elaine\6_Test Data\Monopile Testing!!\SAVED_DATA\sDOF\20260801\recorder_20260801_141224.mat</t>
  </si>
  <si>
    <t>Test Run 100</t>
  </si>
  <si>
    <t>08012026-Testing-LCInvert</t>
  </si>
  <si>
    <t>lagrangeFilt_LCInvert</t>
  </si>
  <si>
    <t>invert LC direction; removed lp filter; this was the wrong direction</t>
  </si>
  <si>
    <t>G:\Shared drives\Liu_Elaine\6_Test Data\Monopile Testing!!\SAVED_DATA\sDOF\20260801\recorder_20260801_141931.mat</t>
  </si>
  <si>
    <t>Offline hold: Solitary LC 13</t>
  </si>
  <si>
    <t>BOTTOM LOAD CELL BROKE in strain gauge in X AND Y direction here</t>
  </si>
  <si>
    <t>Sim. Re LC2/3</t>
  </si>
  <si>
    <t>Steady LC8-10</t>
  </si>
  <si>
    <t>Turbulent LC8-10</t>
  </si>
  <si>
    <t>RTHS</t>
  </si>
  <si>
    <t>Hold - 2m water depth</t>
  </si>
  <si>
    <t>RTHS - sDOF (vary periods)</t>
  </si>
  <si>
    <r>
      <rPr>
        <rFont val="Calibri"/>
        <color theme="1"/>
        <sz val="11.0"/>
      </rPr>
      <t xml:space="preserve">Run example RTHS raw command (no filter, controller) to </t>
    </r>
    <r>
      <rPr>
        <rFont val="Calibri"/>
        <b/>
        <color rgb="FFCC0000"/>
        <sz val="11.0"/>
      </rPr>
      <t>initialize AFC</t>
    </r>
  </si>
  <si>
    <t>-&gt; test machine/wave gauge/load cell connections, test reg waves, offline data to init AFC</t>
  </si>
  <si>
    <t>RTHS: LC2 , turbulent wind (raw cmd)</t>
  </si>
  <si>
    <t>Test Run 101</t>
  </si>
  <si>
    <t>08012026-Testing-P1</t>
  </si>
  <si>
    <t>test_period1p0</t>
  </si>
  <si>
    <t>Offline hold: Solitary LC 16</t>
  </si>
  <si>
    <t>P1 change period; really fast, tracking poor because small number</t>
  </si>
  <si>
    <t>G:\Shared drives\Liu_Elaine\6_Test Data\Monopile Testing!!\SAVED_DATA\sDOF\20260801\recorder_20260801_142347.mat</t>
  </si>
  <si>
    <t>Test Run 102</t>
  </si>
  <si>
    <t>08012026-Testing-P1_W200</t>
  </si>
  <si>
    <t>test_period1p0_W100</t>
  </si>
  <si>
    <t>W100</t>
  </si>
  <si>
    <t>G:\Shared drives\Liu_Elaine\6_Test Data\Monopile Testing!!\SAVED_DATA\sDOF\20260801\recorder_20260801_142851.mat</t>
  </si>
  <si>
    <t>Test Run 103</t>
  </si>
  <si>
    <t>-&gt; couple more times for repeatability</t>
  </si>
  <si>
    <t>08012026-Testing-SimilarMnpl</t>
  </si>
  <si>
    <t>test_sdof_similarMnpl</t>
  </si>
  <si>
    <t>changed damping, weight, ; went unstable</t>
  </si>
  <si>
    <t>G:\Shared drives\Liu_Elaine\6_Test Data\Monopile Testing!!\SAVED_DATA\sDOF\20260801\recorder_20260801_143644.mat</t>
  </si>
  <si>
    <t>Offline hold: Solitary LC 14</t>
  </si>
  <si>
    <t>test_sdof_similarMnpl_Trial2</t>
  </si>
  <si>
    <t>running correct model now</t>
  </si>
  <si>
    <t>G:\Shared drives\Liu_Elaine\6_Test Data\Monopile Testing!!\SAVED_DATA\sDOF\20260801\recorder_20260801_144834.mat</t>
  </si>
  <si>
    <t>-&gt; highest steepness waves</t>
  </si>
  <si>
    <t>^^LC was super noisy in this day</t>
  </si>
  <si>
    <t>Solitary LC15, sDOF RTHS: period 2</t>
  </si>
  <si>
    <r>
      <rPr>
        <rFont val="Calibri"/>
        <color theme="1"/>
        <sz val="11.0"/>
      </rPr>
      <t xml:space="preserve">Actuator characterization tests; </t>
    </r>
    <r>
      <rPr>
        <rFont val="Calibri"/>
        <color rgb="FF38761D"/>
        <sz val="11.0"/>
      </rPr>
      <t>Post process data</t>
    </r>
  </si>
  <si>
    <t>Increase water depth to 2.74m</t>
  </si>
  <si>
    <t>Solitary LC15, sDOF RTHS: period 4</t>
  </si>
  <si>
    <t>Test Run 105</t>
  </si>
  <si>
    <t>offline_steady6-SSI0-EQ0</t>
  </si>
  <si>
    <t>offline_steady6Wind_fixedBaseTurbine</t>
  </si>
  <si>
    <t>post process data</t>
  </si>
  <si>
    <t>still water runs; 1_fixed_orSSISpring.tcl but for fixed base condition, no soil, actuator not moving</t>
  </si>
  <si>
    <t>G:\Shared drives\Liu_Elaine\6_Test Data\Monopile Testing!!\SAVED_DATA\Mnpl\20260802\recorder_20260802_101200.mat</t>
  </si>
  <si>
    <t>Test Run 107</t>
  </si>
  <si>
    <t>offline_steady6_Ramp30-SSI0-EQ0</t>
  </si>
  <si>
    <t>offline_steady6Wind_fixedBaseTurbine_Trial2</t>
  </si>
  <si>
    <t>just to test the simulink; implemented ramp of 30s starting at 30s; ramp works</t>
  </si>
  <si>
    <t>G:\Shared drives\Liu_Elaine\6_Test Data\Monopile Testing!!\SAVED_DATA\Mnpl\20260802\recorder_20260802_110050.mat</t>
  </si>
  <si>
    <t>Test Run 108</t>
  </si>
  <si>
    <t>offline_steady6_Ramp30_wLagrange</t>
  </si>
  <si>
    <t>offline_steady6Wind_fixedBaseTurbine_wLagrange</t>
  </si>
  <si>
    <t>ramp 30; added the movign avg and lagrange filter to presimulated loads to synchronize w displacement feedback; NRMSE 6%</t>
  </si>
  <si>
    <t>G:\Shared drives\Liu_Elaine\6_Test Data\Monopile Testing!!\SAVED_DATA\Mnpl\20260802\recorder_20260802_111720.mat</t>
  </si>
  <si>
    <t>Test Run 109</t>
  </si>
  <si>
    <t>offline_steady6_Ramp30_movAvg10</t>
  </si>
  <si>
    <t>offline_steady6Wind_fixedBaseTurbine_movAvg10</t>
  </si>
  <si>
    <t>mov avg to 10 samples now; lagrange m=1;tracking a lot better in steady state; NRMSE 4.3%</t>
  </si>
  <si>
    <t>G:\Shared drives\Liu_Elaine\6_Test Data\Monopile Testing!!\SAVED_DATA\Mnpl\20260802\recorder_20260802_112342.mat</t>
  </si>
  <si>
    <t>Test Run 110</t>
  </si>
  <si>
    <t>offline_steady6_Ramp30_movAvg10_lagrangem0</t>
  </si>
  <si>
    <t>Test various wind/wave</t>
  </si>
  <si>
    <t>offline_steady6Wind_fixedBaseTurbine_movAvg10_Lag0</t>
  </si>
  <si>
    <t>mov avg 10; lagrange m=0; NRMSE 6.3%</t>
  </si>
  <si>
    <t>G:\Shared drives\Liu_Elaine\6_Test Data\Monopile Testing!!\SAVED_DATA\Mnpl\20260802\recorder_20260802_113421.mat</t>
  </si>
  <si>
    <t>Test Run 111</t>
  </si>
  <si>
    <t>offline_steady6_movAvg10_lagrangem0_derivAFC</t>
  </si>
  <si>
    <t>offline_steady6Wind_derivAFC</t>
  </si>
  <si>
    <t>replaced velocity deriv in AFC with lagrange velo</t>
  </si>
  <si>
    <t>G:\Shared drives\Liu_Elaine\6_Test Data\Monopile Testing!!\SAVED_DATA\Mnpl\20260802\recorder_20260802_114406.mat</t>
  </si>
  <si>
    <t>Establish/Test communications</t>
  </si>
  <si>
    <t>Test Run 112</t>
  </si>
  <si>
    <t>offline hold condition with solitary waves</t>
  </si>
  <si>
    <t>offline_steady6_6SampDelayonDisp</t>
  </si>
  <si>
    <t>offline_steady6Wind_derivAFC_6SampDisp</t>
  </si>
  <si>
    <t>sDOF cases</t>
  </si>
  <si>
    <t xml:space="preserve">standard steady wind for OC3Mnpl </t>
  </si>
  <si>
    <t>reverted back to normal deriv AFC; 6 sample delay on displacement, no other filters, but still movAvg+lagrange on force feedbacks; NRMSE 6%, overshoot</t>
  </si>
  <si>
    <t>G:\Shared drives\Liu_Elaine\6_Test Data\Monopile Testing!!\SAVED_DATA\Mnpl\20260802\recorder_20260802_115152.mat</t>
  </si>
  <si>
    <t>standard turbulent wind</t>
  </si>
  <si>
    <t>similitude</t>
  </si>
  <si>
    <t>east coast winds</t>
  </si>
  <si>
    <t>Test Run 113</t>
  </si>
  <si>
    <t>offline_steady6_noFilt</t>
  </si>
  <si>
    <t>more extreme east coast winds</t>
  </si>
  <si>
    <t>offline_steady6Wind_noFilt</t>
  </si>
  <si>
    <t>no filters, no movAvg, just direct feed raw data; nrmse 6%</t>
  </si>
  <si>
    <t>add no wind case</t>
  </si>
  <si>
    <t>G:\Shared drives\Liu_Elaine\6_Test Data\Monopile Testing!!\SAVED_DATA\Mnpl\20260802\recorder_20260802_115839.mat</t>
  </si>
  <si>
    <r>
      <rPr>
        <rFont val="Calibri"/>
        <b/>
        <color rgb="FF4A86E8"/>
      </rPr>
      <t>Summary</t>
    </r>
    <r>
      <rPr>
        <rFont val="Calibri"/>
        <color theme="1"/>
      </rPr>
      <t>: Varying soil models under base wind/wave case; soil models with other wind/wave</t>
    </r>
  </si>
  <si>
    <t>Test Run 114</t>
  </si>
  <si>
    <t>Day 1 - Mon 08/10</t>
  </si>
  <si>
    <t>offline_steady6_noFilt_rampAFCAt0</t>
  </si>
  <si>
    <t>offline_steady6Wind_noFilt_AFCAt0</t>
  </si>
  <si>
    <t>afc starting at rampstarttime, instead of ramptime+5</t>
  </si>
  <si>
    <t>G:\Shared drives\Liu_Elaine\6_Test Data\Monopile Testing!!\SAVED_DATA\Mnpl\20260802\recorder_20260802_120847.mat</t>
  </si>
  <si>
    <t>Day 2 - Tues 08/11</t>
  </si>
  <si>
    <t>Test Run 115</t>
  </si>
  <si>
    <t>offline_Turb18_noFilt</t>
  </si>
  <si>
    <t>turb 18 wind speed; baseline; displaces 0.2in</t>
  </si>
  <si>
    <t>G:\Shared drives\Liu_Elaine\6_Test Data\Monopile Testing!!\SAVED_DATA\Mnpl\20260802\recorder_20260802_121650.mat</t>
  </si>
  <si>
    <t>Day 3 - Wed 08/12</t>
  </si>
  <si>
    <r>
      <rPr>
        <rFont val="Calibri"/>
        <color theme="1"/>
        <sz val="11.0"/>
      </rPr>
      <t xml:space="preserve">Run varying </t>
    </r>
    <r>
      <rPr>
        <rFont val="Calibri"/>
        <b/>
        <color rgb="FFCC0000"/>
        <sz val="11.0"/>
      </rPr>
      <t>solitary waves</t>
    </r>
    <r>
      <rPr>
        <rFont val="Calibri"/>
        <color theme="1"/>
        <sz val="11.0"/>
      </rPr>
      <t xml:space="preserve"> (LC13-17) on fixed cylinder/</t>
    </r>
    <r>
      <rPr>
        <rFont val="Calibri"/>
        <b/>
        <color rgb="FFCC0000"/>
        <sz val="11.0"/>
      </rPr>
      <t>hold condition</t>
    </r>
  </si>
  <si>
    <t>Test Run 116</t>
  </si>
  <si>
    <t>offline_Turb24_noFilt</t>
  </si>
  <si>
    <t>Day 4 - Thurs 08/13</t>
  </si>
  <si>
    <t>turb 24 wind speed; baseline; displaces 0.3in</t>
  </si>
  <si>
    <t>G:\Shared drives\Liu_Elaine\6_Test Data\Monopile Testing!!\SAVED_DATA\Mnpl\20260802\recorder_20260802_123036.mat</t>
  </si>
  <si>
    <t>Day 5 - Fri 08/14</t>
  </si>
  <si>
    <t>Test Run 117</t>
  </si>
  <si>
    <t>offline_Turb24_movAvg10</t>
  </si>
  <si>
    <t>turb24, added mov Avg 10 sample</t>
  </si>
  <si>
    <t>G:\Shared drives\Liu_Elaine\6_Test Data\Monopile Testing!!\SAVED_DATA\Mnpl\20260802\recorder_20260802_123814.mat</t>
  </si>
  <si>
    <t>&lt;- Maine extreme</t>
  </si>
  <si>
    <t>TODO: Use data to initialize AFC</t>
  </si>
  <si>
    <t>Test Run 118</t>
  </si>
  <si>
    <t>-&gt; test turbulent wind model</t>
  </si>
  <si>
    <t>offline_Turb24_movAvg10_Lagrange</t>
  </si>
  <si>
    <t>run offline sDOF</t>
  </si>
  <si>
    <t>added lagrange filtering to everything</t>
  </si>
  <si>
    <t>G:\Shared drives\Liu_Elaine\6_Test Data\Monopile Testing!!\SAVED_DATA\Mnpl\20260802\recorder_20260802_124703.mat</t>
  </si>
  <si>
    <t>Test Run 119</t>
  </si>
  <si>
    <t>offline_Turb24_movAvg20_Lagrange</t>
  </si>
  <si>
    <t>movAvg20, lagrange; actuator starting to be unstable; m=0 for lagrange</t>
  </si>
  <si>
    <t>G:\Shared drives\Liu_Elaine\6_Test Data\Monopile Testing!!\SAVED_DATA\Mnpl\20260802\recorder_20260802_125530.mat</t>
  </si>
  <si>
    <t>Test Run 120</t>
  </si>
  <si>
    <t>offline_Turb24_movAvg10_Lagrange_Trial02</t>
  </si>
  <si>
    <t>moving back to 10 samples; lagrange m set to 1; vibration noise in wave lab making noise in force sensors</t>
  </si>
  <si>
    <t>Test Run 121</t>
  </si>
  <si>
    <t>offline_Steady6_mov20_Lag</t>
  </si>
  <si>
    <t>-&gt; couple times for repeatability</t>
  </si>
  <si>
    <t>-&gt; ENTERING SDOF STUFF</t>
  </si>
  <si>
    <t>smaller wind at 6m/s; tracks great! saved as moving average 20 but its actually 10; steady until 0.06in</t>
  </si>
  <si>
    <t>G:\Shared drives\Liu_Elaine\6_Test Data\Monopile Testing!!\SAVED_DATA\Mnpl\20260802\recorder_20260802_131457.mat</t>
  </si>
  <si>
    <t>Test Run 122</t>
  </si>
  <si>
    <t>aeroDyn_Steady8</t>
  </si>
  <si>
    <t>aerodyn in the loop, steady 8; two way communications</t>
  </si>
  <si>
    <t>G:\Shared drives\Liu_Elaine\6_Test Data\Monopile Testing!!\SAVED_DATA\Mnpl\20260802\recorder_20260802_135741.mat</t>
  </si>
  <si>
    <t>Test Run 123</t>
  </si>
  <si>
    <t>aeroDyn_Steady8_movAvg20</t>
  </si>
  <si>
    <t>movAvg20; wind speed 6; nrmse 1.63%</t>
  </si>
  <si>
    <t>G:\Shared drives\Liu_Elaine\6_Test Data\Monopile Testing!!\SAVED_DATA\Mnpl\20260802\recorder_20260802_140731.mat</t>
  </si>
  <si>
    <t>Test Run 124</t>
  </si>
  <si>
    <t>08032026-StructuralP1-H0p1_wave/Trial01</t>
  </si>
  <si>
    <t>H0p508_wave_hold_Trial01</t>
  </si>
  <si>
    <t xml:space="preserve">solitary </t>
  </si>
  <si>
    <t>movAvg10; lagrange m1</t>
  </si>
  <si>
    <t>period 1; solitary wave; Pdelta; weight 500kip; damping 0.02; alpha=0.5; N=5 param;    AFC decayed; elastic materials</t>
  </si>
  <si>
    <t>G:\Shared drives\Liu_Elaine\6_Test Data\Monopile Testing!!\SAVED_DATA\sDOF\20260803\recorder_20260803_095105.mat</t>
  </si>
  <si>
    <t>H0p508_wave_hold_Trial02</t>
  </si>
  <si>
    <t>tell rebecca to start at 30seconds; AFC enabled at 55s now; grounded electrical noise</t>
  </si>
  <si>
    <t>G:\Shared drives\Liu_Elaine\6_Test Data\Monopile Testing!!\SAVED_DATA\sDOF\20260803\recorder_20260803_101016.mat</t>
  </si>
  <si>
    <t>&lt;- 50 year extreme ocean</t>
  </si>
  <si>
    <t>Test Run 125</t>
  </si>
  <si>
    <t>08032026-StructuralP1-H0p508_wave/Trial01</t>
  </si>
  <si>
    <t>StructuralP1-H0p508_solitary</t>
  </si>
  <si>
    <t>tell rebecca to start at 0 sec; AFC at 55s</t>
  </si>
  <si>
    <t>G:\Shared drives\Liu_Elaine\6_Test Data\Monopile Testing!!\SAVED_DATA\sDOF\20260803\recorder_20260803_102955.mat</t>
  </si>
  <si>
    <t>Test Run 126</t>
  </si>
  <si>
    <t>08032026-StructuralP1-H0p508_wave_weight250_N10param/Trial01</t>
  </si>
  <si>
    <t>StructuralP1-H0p508_solitary_weight250_N10</t>
  </si>
  <si>
    <t>tell rebecca to start at 0 sec; weight 250; N=10</t>
  </si>
  <si>
    <t>Solitary/Reg/Irreg Wave Tests</t>
  </si>
  <si>
    <t>G:\Shared drives\Liu_Elaine\6_Test Data\Monopile Testing!!\SAVED_DATA\sDOF\20260803\recorder_20260803_104938.mat</t>
  </si>
  <si>
    <t>Test Run 127</t>
  </si>
  <si>
    <t>08032026-StructuralP1-H0p508_AFCAt30s/Trial01</t>
  </si>
  <si>
    <t>StructuralP1-H0p508_AFC30s</t>
  </si>
  <si>
    <t>changed AFC to enable at 30s</t>
  </si>
  <si>
    <t>G:\Shared drives\Liu_Elaine\6_Test Data\Monopile Testing!!\SAVED_DATA\sDOF\20260803\recorder_20260803_110832.mat</t>
  </si>
  <si>
    <t>08032026-StructuralP1-H1p0/Trial01</t>
  </si>
  <si>
    <t>StructuralP1-H1p0_vibrationOnly</t>
  </si>
  <si>
    <t>still afc at 30s, but changing wave heihgt. dt 0.0169; ext command not enabled. just free vibration case</t>
  </si>
  <si>
    <t>G:\Shared drives\Liu_Elaine\6_Test Data\Monopile Testing!!\SAVED_DATA\sDOF\20260803\recorder_20260803_112829.mat</t>
  </si>
  <si>
    <t>Test Run 128</t>
  </si>
  <si>
    <t>08032026-StructuralP1-H1p0/Trial02</t>
  </si>
  <si>
    <t>StructuralP1-H1p0</t>
  </si>
  <si>
    <t>computed period: 1.04s; afc enabled at 0, right when the ramp starts</t>
  </si>
  <si>
    <t>G:\Shared drives\Liu_Elaine\6_Test Data\Monopile Testing!!\SAVED_DATA\sDOF\20260803\recorder_20260803_114809.mat</t>
  </si>
  <si>
    <t>Test Run 129</t>
  </si>
  <si>
    <t>08032026-StructuralP1-H1p15/Trial01</t>
  </si>
  <si>
    <t>StructuralP1-H1p15</t>
  </si>
  <si>
    <t>computed per: 1.04s (note pdelta is on)</t>
  </si>
  <si>
    <t>G:\Shared drives\Liu_Elaine\6_Test Data\Monopile Testing!!\SAVED_DATA\sDOF\20260803\recorder_20260803_120641.mat</t>
  </si>
  <si>
    <t>after lunch</t>
  </si>
  <si>
    <t>Test Run 130</t>
  </si>
  <si>
    <t>08032026-StructuralP2-H1p15/Trial01</t>
  </si>
  <si>
    <t>StructuralP2-H1p15</t>
  </si>
  <si>
    <t>computed per: 2.16s; afc didnt ramp in time</t>
  </si>
  <si>
    <t>G:\Shared drives\Liu_Elaine\6_Test Data\Monopile Testing!!\SAVED_DATA\sDOF\20260803\recorder_20260803_130749.mat</t>
  </si>
  <si>
    <t>Test Run 131</t>
  </si>
  <si>
    <t>08032026-StructuralP2-H1p15/Trial02</t>
  </si>
  <si>
    <t>StructuralP2-H1p15_Trial02</t>
  </si>
  <si>
    <t>computed per: 2.18s</t>
  </si>
  <si>
    <t>G:\Shared drives\Liu_Elaine\6_Test Data\Monopile Testing!!\SAVED_DATA\sDOF\20260803\recorder_20260803_132605.mat</t>
  </si>
  <si>
    <t>Test Run 132</t>
  </si>
  <si>
    <t>08032026-StructuralP2-H1p0/Trial01</t>
  </si>
  <si>
    <t>StructuralP2-H1p0_Trial01</t>
  </si>
  <si>
    <t>G:\Shared drives\Liu_Elaine\6_Test Data\Monopile Testing!!\SAVED_DATA\sDOF\20260803\recorder_20260803_134432.mat</t>
  </si>
  <si>
    <t>Test Run 133</t>
  </si>
  <si>
    <t>08032026-StructuralP2-H0p508/Trial01</t>
  </si>
  <si>
    <t>StructuralP2-H0p508</t>
  </si>
  <si>
    <t>computed per: 2.04s</t>
  </si>
  <si>
    <t>G:\Shared drives\Liu_Elaine\6_Test Data\Monopile Testing!!\SAVED_DATA\sDOF\20260803\recorder_20260803_140233.mat</t>
  </si>
  <si>
    <t>Test Run 134</t>
  </si>
  <si>
    <t>08032026-StructuralP0p5-H0p508/Trial01</t>
  </si>
  <si>
    <t>StructuralP0p5-H0p508</t>
  </si>
  <si>
    <t>pretty noisy, i dont think it can get this period</t>
  </si>
  <si>
    <t>G:\Shared drives\Liu_Elaine\6_Test Data\Monopile Testing!!\SAVED_DATA\sDOF\20260803\recorder_20260803_142125.mat</t>
  </si>
  <si>
    <t>Test Run 135</t>
  </si>
  <si>
    <t>08032026-StructuralP0p5-H1p0/Trial01</t>
  </si>
  <si>
    <t>StructuralP0p5-H1p0</t>
  </si>
  <si>
    <t>computed per: 0.52s</t>
  </si>
  <si>
    <t>G:\Shared drives\Liu_Elaine\6_Test Data\Monopile Testing!!\SAVED_DATA\sDOF\20260803\recorder_20260803_143953.mat</t>
  </si>
  <si>
    <t>Test Run 136</t>
  </si>
  <si>
    <t>08032026-StructuralP0p5-H1p15/Trial01</t>
  </si>
  <si>
    <t>StructuralP0p5-H1p15</t>
  </si>
  <si>
    <r>
      <rPr>
        <rFont val="Calibri"/>
        <color rgb="FF000000"/>
        <sz val="11.0"/>
      </rPr>
      <t>λ</t>
    </r>
    <r>
      <rPr>
        <rFont val="Calibri"/>
        <color rgb="FF000000"/>
        <sz val="12.0"/>
      </rPr>
      <t>L</t>
    </r>
  </si>
  <si>
    <t>G:\Shared drives\Liu_Elaine\6_Test Data\Monopile Testing!!\SAVED_DATA\sDOF\20260803\recorder_20260803_145917.mat</t>
  </si>
  <si>
    <t>*from Pedros paper</t>
  </si>
  <si>
    <t>Test Run 137</t>
  </si>
  <si>
    <t>08032026-MnplFixed-Turb24-H1p0-SSI0-EQ0</t>
  </si>
  <si>
    <t>unstable1</t>
  </si>
  <si>
    <t xml:space="preserve">turb 24; fixed mnpl; unstable. </t>
  </si>
  <si>
    <t>G:\Shared drives\Liu_Elaine\6_Test Data\Monopile Testing!!\SAVED_DATA\Mnpl\20260803\recorder_20260803_151729.mat</t>
  </si>
  <si>
    <t>Test Run 138</t>
  </si>
  <si>
    <t>08032026-MnplFixed-Steady8-H1p0-SSI0-EQ0</t>
  </si>
  <si>
    <t>unstable_steady8</t>
  </si>
  <si>
    <t>steady8; all elastic materials for spring base; went unstable when the wave hit; no slow down states in AD or OS</t>
  </si>
  <si>
    <t>G:\Shared drives\Liu_Elaine\6_Test Data\Monopile Testing!!\SAVED_DATA\Mnpl\20260803\recorder_20260803_155113.mat</t>
  </si>
  <si>
    <t>a bunch of dry runs to check the data</t>
  </si>
  <si>
    <t>Run just wind only cases in still water</t>
  </si>
  <si>
    <t>Irreg: TMA spectrum gamma=3.3, Hm0 = 0.2-0.6, Tp=5 to 7s, h=1.6 to 2m</t>
  </si>
  <si>
    <t>Test Run 142</t>
  </si>
  <si>
    <t>08032026-MnplFixed-Steady8-H0p508-SSI0-EQ0</t>
  </si>
  <si>
    <t>MnplFixed-Steady8-H0p508</t>
  </si>
  <si>
    <t xml:space="preserve">all the filters off. ONLY filter on the topLC feedback of 7Hz. smaller wave height. did not go unstable. </t>
  </si>
  <si>
    <t>G:\Shared drives\Liu_Elaine\6_Test Data\Monopile Testing!!\SAVED_DATA\Mnpl\20260803\recorder_20260803_161434.mat</t>
  </si>
  <si>
    <t>Test Run 143</t>
  </si>
  <si>
    <t>MnplFixed-Steady8-H1p0</t>
  </si>
  <si>
    <t>baseLC and topLC values inverted; still only filter of 7Hz on top LC; some weird high freq vibration but not unstable</t>
  </si>
  <si>
    <t>G:\Shared drives\Liu_Elaine\6_Test Data\Monopile Testing!!\SAVED_DATA\Mnpl\20260803\recorder_20260803_162827.mat</t>
  </si>
  <si>
    <t>Test Run 144</t>
  </si>
  <si>
    <t>08032026-MnplFixed-Steady8-H1p0-10HzFilt-SSI0-EQ0</t>
  </si>
  <si>
    <t>MnplFixed-Steady8-H1p0-mov10Lagrange</t>
  </si>
  <si>
    <t>movavg10, lagrangeF on all signals; went unstable; saved as 10HzFilt but it is lagrange</t>
  </si>
  <si>
    <t>G:\Shared drives\Liu_Elaine\6_Test Data\Monopile Testing!!\SAVED_DATA\Mnpl\20260803\recorder_20260803_164838.mat</t>
  </si>
  <si>
    <t>they are filling the water depth to 2.743m ; have to wait 2h</t>
  </si>
  <si>
    <t>Reg LC1-3</t>
  </si>
  <si>
    <t>Test Run 145</t>
  </si>
  <si>
    <t>08042026-MnplFixed-Steady8-H0p88-T4p2-10HzFiltAll</t>
  </si>
  <si>
    <t>MnplFixed-Steady8-H0p88-T4p2-10HzFiltAll</t>
  </si>
  <si>
    <t>10Hz filter on all, regular waves; went unstable</t>
  </si>
  <si>
    <t>G:\Shared drives\Liu_Elaine\6_Test Data\Monopile Testing!!\SAVED_DATA\Mnpl\20260804\recorder_20260804_114002.mat</t>
  </si>
  <si>
    <t>Test Run 148</t>
  </si>
  <si>
    <t>0p5_sineWave_stillWater</t>
  </si>
  <si>
    <t>Steady LC2</t>
  </si>
  <si>
    <t>running 0.5in sine wave; no AFC; just to check noise on LC</t>
  </si>
  <si>
    <t>Test Run 150</t>
  </si>
  <si>
    <t>H0p508_T2p91_hold</t>
  </si>
  <si>
    <t>Turbulent LC2</t>
  </si>
  <si>
    <t>regular waves; actuator fixed, sending 0 command</t>
  </si>
  <si>
    <t>G:\Shared drives\Liu_Elaine\6_Test Data\Monopile Testing!!\SAVED_DATA\Mnpl\20260804\recorder_20260804_134205.mat</t>
  </si>
  <si>
    <t>Test Run 151</t>
  </si>
  <si>
    <t>H0p88_T4p2_hold</t>
  </si>
  <si>
    <t>Turbulent LC1-3 / ServoDyn</t>
  </si>
  <si>
    <t>G:\Shared drives\Liu_Elaine\6_Test Data\Monopile Testing!!\SAVED_DATA\Mnpl\20260804\recorder_20260804_140403.mat</t>
  </si>
  <si>
    <t>Test Run 152</t>
  </si>
  <si>
    <t>H0p169_T2p066_hold</t>
  </si>
  <si>
    <t>RTHS - linear, p-y</t>
  </si>
  <si>
    <t>G:\Shared drives\Liu_Elaine\6_Test Data\Monopile Testing!!\SAVED_DATA\Mnpl\20260804\recorder_20260804_142843.mat</t>
  </si>
  <si>
    <t>Test Run 153</t>
  </si>
  <si>
    <t>H0p423_T2p066_hold</t>
  </si>
  <si>
    <t>G:\Shared drives\Liu_Elaine\6_Test Data\Monopile Testing!!\SAVED_DATA\Mnpl\20260804\recorder_20260804_151014.mat</t>
  </si>
  <si>
    <t>Test Run 154</t>
  </si>
  <si>
    <t>RTHS - bridge</t>
  </si>
  <si>
    <t>H1p0_T5_hold</t>
  </si>
  <si>
    <t>RTHS-bridge</t>
  </si>
  <si>
    <t>hit interlocks; way too high</t>
  </si>
  <si>
    <t>RTHS - Delays</t>
  </si>
  <si>
    <t>G:\Shared drives\Liu_Elaine\6_Test Data\Monopile Testing!!\SAVED_DATA\Mnpl\20260804\recorder_20260804_153018.mat</t>
  </si>
  <si>
    <t>Test Run 155</t>
  </si>
  <si>
    <t>MnplFixed-Steady8-H0p88-T4p2-7HzFiltAll</t>
  </si>
  <si>
    <t>7 Hz on all, synchornized; damping 5% (mass and stiffness proportional</t>
  </si>
  <si>
    <t>G:\Shared drives\Liu_Elaine\6_Test Data\Monopile Testing!!\SAVED_DATA\Mnpl\20260804\recorder_20260804_155543.mat</t>
  </si>
  <si>
    <t>Test Run 156</t>
  </si>
  <si>
    <t>MnplFixed-Steady8-H0p88-T4p2-7HzFiltAll_noAFC</t>
  </si>
  <si>
    <t>Test various soil models</t>
  </si>
  <si>
    <t>same for above but noAFC</t>
  </si>
  <si>
    <t>G:\Shared drives\Liu_Elaine\6_Test Data\Monopile Testing!!\SAVED_DATA\Mnpl\20260804\recorder_20260804_160841.mat</t>
  </si>
  <si>
    <t>Test Run 159</t>
  </si>
  <si>
    <t>MnplFixed-Steady8-H0p88-T4p2-7HzFiltAll_AFC10Hz</t>
  </si>
  <si>
    <t>added AFC, 10Hz ONLY on the feedback; construction in the background, some noise; went unstable at end of ramp</t>
  </si>
  <si>
    <t>G:\Shared drives\Liu_Elaine\6_Test Data\Monopile Testing!!\SAVED_DATA\Mnpl\20260804\recorder_20260804_161817.mat</t>
  </si>
  <si>
    <t>Test Run 161</t>
  </si>
  <si>
    <t>08042026-MnplFixed-Steady8-H0p508-T2p91_AFC7HzOnlyForce</t>
  </si>
  <si>
    <t>ServoDyn - simple, complicated</t>
  </si>
  <si>
    <t>Diff soil models; steady</t>
  </si>
  <si>
    <t>AFC, 7Hz only on the feedback</t>
  </si>
  <si>
    <t>Earthquake (EQ)</t>
  </si>
  <si>
    <t>G:\Shared drives\Liu_Elaine\6_Test Data\Monopile Testing!!\SAVED_DATA\Mnpl\20260804\recorder_20260804_164408.mat</t>
  </si>
  <si>
    <t>parallel processing</t>
  </si>
  <si>
    <t>Parallel w EQ</t>
  </si>
  <si>
    <t>Yun delay studies</t>
  </si>
  <si>
    <t>offline constant wind studies</t>
  </si>
  <si>
    <t>Repeatability tests</t>
  </si>
  <si>
    <r>
      <rPr>
        <rFont val="Calibri"/>
        <b/>
        <color rgb="FF4A86E8"/>
      </rPr>
      <t>Summary</t>
    </r>
    <r>
      <rPr>
        <rFont val="Calibri"/>
        <color theme="1"/>
      </rPr>
      <t>: Parallel processing - soil; offline; RTHS delay studies</t>
    </r>
  </si>
  <si>
    <t>Steady8_ADon_FixedMonopile_noWave</t>
  </si>
  <si>
    <t>C:\projects\RTHS_Monopile\1_Full_OC3_Mnpl_lessOnAll\post_process\saved_mats\08062026\Steady8_ADon_FixedMonopile_noWave</t>
  </si>
  <si>
    <t>Day 1 - Mon 08/17</t>
  </si>
  <si>
    <t>no wave cases</t>
  </si>
  <si>
    <t>Steady8_ADon_FixedMonopile_noWave_mov10Lagrange</t>
  </si>
  <si>
    <t>Day 2 - Tues 08/18</t>
  </si>
  <si>
    <t>Turb11p4_ADon_FixedMonopile_noWave_mov10Lagrange</t>
  </si>
  <si>
    <t>Turb11p4_ADon_FixedMonopile_noWave_mov10Lagrange_Trial02</t>
  </si>
  <si>
    <t>Day 3 - Wed 08/19</t>
  </si>
  <si>
    <t>Turb11p4_ADon_FixedMonopile_noWave_lumpedMass</t>
  </si>
  <si>
    <t>lumped mass and no filters</t>
  </si>
  <si>
    <t>Day 4 - Thurs 08/20</t>
  </si>
  <si>
    <t>Turb11p4_ADon_FixedMonopile_noWave_lumpedMass_mov10Lagrange</t>
  </si>
  <si>
    <t>lumped mass from here; added back movAvg10 and lagrange</t>
  </si>
  <si>
    <t>Day 5 - Fri 08/21</t>
  </si>
  <si>
    <t>Turb11p4_ADon_FixedMonopile_noWave_stiff1k</t>
  </si>
  <si>
    <t>no filters; stiffness 1000</t>
  </si>
  <si>
    <t xml:space="preserve">In 08072026 folder </t>
  </si>
  <si>
    <t>0807_monopile_Trial01</t>
  </si>
  <si>
    <t>H0p1_T6_hold</t>
  </si>
  <si>
    <t>command 0</t>
  </si>
  <si>
    <t>post_process/saved_mats/08072026/H0p1_T6_hold.mat</t>
  </si>
  <si>
    <t>0807_monopile_Trial02</t>
  </si>
  <si>
    <t>Steady8AD_FixedTurb_H0p1_T6_noFilt</t>
  </si>
  <si>
    <t>0807_Steady8AD_FixedTurb_H0p1_T6_noFilt</t>
  </si>
  <si>
    <t>no filters on ; changed damping to before expeirmental elemneet, changed to initial stiffness; exp element 1k stiffness, system umfpack; tracking ramp well but too small displacements; did not go unstable</t>
  </si>
  <si>
    <t>0807_monopile_Trial03</t>
  </si>
  <si>
    <t>Turb11p4AD_FixedTurb_H0p1_T6_noFilt</t>
  </si>
  <si>
    <t>0807_Turb11p4AD_FixedTurb_H0p1_T6_noFilt</t>
  </si>
  <si>
    <t>changed damping to after gravity; turbulent winds; daq started at 18s; went unstable around 140s</t>
  </si>
  <si>
    <t>0807_monopile_Trial04</t>
  </si>
  <si>
    <t>0807_Turb11p4AD_FixedTurb_H0p1_T6_noFilt_massAndStiffDamping</t>
  </si>
  <si>
    <t>Irreg LC1</t>
  </si>
  <si>
    <t>2% mass and stiff damping in OS model; went unstable earlier, around 100s</t>
  </si>
  <si>
    <t>0807_monopile_Trial05</t>
  </si>
  <si>
    <t>0807_Turb18AD_FixedTurb_H0p1_T6_noFilt_massAndStiffDamping</t>
  </si>
  <si>
    <t>Reg LC8-10</t>
  </si>
  <si>
    <t>still have 2% mass and stiffness damping; turb 18</t>
  </si>
  <si>
    <t>0807_monopile_Trial06</t>
  </si>
  <si>
    <t>0807_Turb18AD_FixedTurb_H0p423_T2p066_noFilt_massAndStiffDamping</t>
  </si>
  <si>
    <t>still have 2% mass and stiffness damping;higher wave height</t>
  </si>
  <si>
    <t>0807_monopile_Trial07</t>
  </si>
  <si>
    <t>0807_Turb18AD_FixedTurb_H0p508_T2p91_noFilt_massAndStiffDamping</t>
  </si>
  <si>
    <t>still have 2% mass and stiffness damping; higher wave height</t>
  </si>
  <si>
    <t>0807_monopile_Trial08</t>
  </si>
  <si>
    <t>0807_Turb18AD_FixedTurb_H0p88_T4p2_noFilt_massAndStiffDamping</t>
  </si>
  <si>
    <t>2% mass and stiff; higher wave</t>
  </si>
  <si>
    <t>solitary</t>
  </si>
  <si>
    <t>0807_monopile_Trial09</t>
  </si>
  <si>
    <t>0807_Turb24AD_FixedTurb_H0p508_T2p91_noFilt_massAndStiffDamping</t>
  </si>
  <si>
    <t>turb 24 wind</t>
  </si>
  <si>
    <t>0807_monopile_Trial10</t>
  </si>
  <si>
    <t>0807_Turb18AD_FixedTurb_H0p508_T2p91_N15</t>
  </si>
  <si>
    <t>N=15 param; actuator not warmed up; slowdown states in OS</t>
  </si>
  <si>
    <t>0807_monopile_Trial11</t>
  </si>
  <si>
    <t>0807_Turb18AD_FixedTurb_H0p508_T2p91_z1pDamping</t>
  </si>
  <si>
    <t xml:space="preserve">back to N=20; w1/2 and w1, 1% damping; unstable at the very last </t>
  </si>
  <si>
    <t>0807_monopile_Trial12</t>
  </si>
  <si>
    <t>0807_Turb18AD_FixedTurb_H0p508_T2p91_alpha0</t>
  </si>
  <si>
    <t>back to 2% damping; doesnt change results that much and enhances stability a lot; between 0-5Hz , less than 5% damping; alpha 0.0</t>
  </si>
  <si>
    <t>0807_monopile_Trial13</t>
  </si>
  <si>
    <t>0807_Turb18AD_FixedTurb_H0p508_T2p91_betaKcomm</t>
  </si>
  <si>
    <t>commited stiffness (previous runs were current stiffness); rayleigh alphaM 0.0 0.0 betaKcomm; experimental element still on 1k stiffness</t>
  </si>
  <si>
    <t>Reg: H=0.1-1; T=5 to 7, h=1.6 to 2m</t>
  </si>
  <si>
    <t>0807_monopile_Trial14</t>
  </si>
  <si>
    <t>0807_Turb18AD_FixedTurb_H0p508_T2p91_15HzForce</t>
  </si>
  <si>
    <t>now staying with committed stiffness; 15Hz on just force feedback; went unstable in the middle</t>
  </si>
  <si>
    <t>0807_monopile_Trial15</t>
  </si>
  <si>
    <t>0807_Turb18AD_FixedTurb_H0p508_T2p91_10HzForce</t>
  </si>
  <si>
    <t>10Hz filter on just force feedback; did not go unstable</t>
  </si>
  <si>
    <t>0807_monopile_Trial16</t>
  </si>
  <si>
    <t>0807_Turb18AD_FixedTurb_H0p508_T2p91_30HzForce</t>
  </si>
  <si>
    <t>30Hz filter on just force feedback; unstable</t>
  </si>
  <si>
    <t>0807_monopile_Trial17</t>
  </si>
  <si>
    <t>0807_Turb18AD_FixedTurb_H0p508_T2p91_30HzMsdDisp</t>
  </si>
  <si>
    <t>30Hz filter on just disp feedback; went unstable immediately, before the waves even hit; controller instability</t>
  </si>
  <si>
    <t>* these are the waves we will use in future RTHS tests</t>
  </si>
  <si>
    <t>0807_monopile_Trial18</t>
  </si>
  <si>
    <t>0807_Turb18AD_FixedTurb_H0p508_T2p91_30HzBoth</t>
  </si>
  <si>
    <t>30Hz on both disp and force feedback; went unstable after finished ramp</t>
  </si>
  <si>
    <t>0807_monopile_Trial19</t>
  </si>
  <si>
    <t>0807_Turb18AD_FixedTurb_H0p508_T2p91_Trial02</t>
  </si>
  <si>
    <t>went fine! opensees did not save :(</t>
  </si>
  <si>
    <t>Solitary: H=0.2-1.4, h =1.6 to 2m</t>
  </si>
  <si>
    <t>-&gt; no controller</t>
  </si>
  <si>
    <t>0807_monopile_Trial20</t>
  </si>
  <si>
    <t>0807_Turb18AD_FixedTurb_H0p508_T2p91_Lag</t>
  </si>
  <si>
    <t>-&gt; smallest steepness waves</t>
  </si>
  <si>
    <t>lagrange on both forces; delay of 1 on disp fbk; we have been using constraints Plain; filter peak at 20Hz</t>
  </si>
  <si>
    <t>0807_monopile_Trial21</t>
  </si>
  <si>
    <t>0807_Turb18AD_FixedTurb_H0p508_T2p91_mov6_Lag</t>
  </si>
  <si>
    <t>Irregular waves</t>
  </si>
  <si>
    <t>Nonlinear/steep waves; add ServoDyn</t>
  </si>
  <si>
    <t>mov avg of 6 and lagrange on forces; but mov6 and one samp delay on disp fbk</t>
  </si>
  <si>
    <t>Breaking wave cases</t>
  </si>
  <si>
    <t>0807_monopile_Trial22</t>
  </si>
  <si>
    <t>0807_Turb18AD_FixedTurb_H1p5_T3p172</t>
  </si>
  <si>
    <t xml:space="preserve">Extreme aero-hydro-servo-elastic </t>
  </si>
  <si>
    <t>back to no filters, broken wave; baseLC and topLC to filescope 7; filescope 8 is aerodyn params</t>
  </si>
  <si>
    <t>Extreme aero-hydro-servo-elastic ; multi hazard</t>
  </si>
  <si>
    <r>
      <rPr>
        <rFont val="Calibri"/>
        <b/>
        <color rgb="FF4A86E8"/>
      </rPr>
      <t>Summary</t>
    </r>
    <r>
      <rPr>
        <rFont val="Calibri"/>
        <color theme="1"/>
      </rPr>
      <t>: varying wave cases (irreg/breaking)</t>
    </r>
  </si>
  <si>
    <t>Add Earthquake</t>
  </si>
  <si>
    <t>20260809_monopile_trial01</t>
  </si>
  <si>
    <t>0 aero load, eqSF 1.0, carrey model; controlling actuator; PID 5.5 unstable</t>
  </si>
  <si>
    <t>FLUME TAKING DOWN</t>
  </si>
  <si>
    <t>20260809_monopile_trial02</t>
  </si>
  <si>
    <t>Day 1 - Mon 08/24</t>
  </si>
  <si>
    <t>PID 3.5 unstable</t>
  </si>
  <si>
    <t>nonbreaking</t>
  </si>
  <si>
    <t>using alpha0S 0.5; still went unstable</t>
  </si>
  <si>
    <t>* multiple times for repeatability</t>
  </si>
  <si>
    <t>20260809_monopile_trial04</t>
  </si>
  <si>
    <t>trying old models. unstable around 60s</t>
  </si>
  <si>
    <t>20260809_monopile_trial05</t>
  </si>
  <si>
    <t>Day 2 - Tues 08/25</t>
  </si>
  <si>
    <t>20260809_monopile_trial06</t>
  </si>
  <si>
    <t>Day 3 - Wed 08/26</t>
  </si>
  <si>
    <t>new model</t>
  </si>
  <si>
    <t>white on left, red onright; 100.100.100.2</t>
  </si>
  <si>
    <t>Day 4 - Thurs 08/27</t>
  </si>
  <si>
    <t>-&gt; multiple times for repeatability</t>
  </si>
  <si>
    <t>20260809_monopile_trial07</t>
  </si>
  <si>
    <t>trial07</t>
  </si>
  <si>
    <t>new mass model; did not go unstable; expElem 0</t>
  </si>
  <si>
    <t>Day 5 - Fri 08/28</t>
  </si>
  <si>
    <t>20260809_monopile_trial10</t>
  </si>
  <si>
    <t>expElem1e-2</t>
  </si>
  <si>
    <t>expElem 1e-2</t>
  </si>
  <si>
    <t>expElem1</t>
  </si>
  <si>
    <t>expElem 1</t>
  </si>
  <si>
    <r>
      <rPr>
        <rFont val="Calibri"/>
        <b/>
        <color rgb="FF38761D"/>
        <sz val="11.0"/>
      </rPr>
      <t>how to run</t>
    </r>
    <r>
      <rPr>
        <rFont val="Calibri"/>
        <color theme="1"/>
        <sz val="11.0"/>
      </rPr>
      <t>: change periods in sDOF model</t>
    </r>
  </si>
  <si>
    <t>20260809_monopile_trial12</t>
  </si>
  <si>
    <t>expElem1e-2_PGain5</t>
  </si>
  <si>
    <t>expElem back to 1e-2. P gain to 5</t>
  </si>
  <si>
    <t>20260809_monopile_trial13</t>
  </si>
  <si>
    <t>kralphaExplicit 0.5</t>
  </si>
  <si>
    <t>20260810_monopile_trial00</t>
  </si>
  <si>
    <t>1+</t>
  </si>
  <si>
    <r>
      <rPr>
        <rFont val="Calibri"/>
        <b/>
        <color rgb="FF38761D"/>
        <sz val="11.0"/>
      </rPr>
      <t>how to run</t>
    </r>
    <r>
      <rPr>
        <rFont val="Calibri"/>
        <color theme="1"/>
        <sz val="11.0"/>
      </rPr>
      <t>: send 0 from simulink</t>
    </r>
  </si>
  <si>
    <t>Potentially start on the sDOF studies</t>
  </si>
  <si>
    <t>0810_Turb18AD_FixedTurb_offline</t>
  </si>
  <si>
    <t>irreg-TMA</t>
  </si>
  <si>
    <t>didnt finish run cus wavemaker tuning</t>
  </si>
  <si>
    <t>0810_Turb18AD_FixedTurb_H0p508_T2p91_default</t>
  </si>
  <si>
    <t>PID P5 I0.5</t>
  </si>
  <si>
    <t>turb18, updatedMon.tcl; w more mass at actuator, and no stub element; nrmse 1.6%; a lot more stable; KRalphaexplcit 0.5</t>
  </si>
  <si>
    <t>20260810_monopile_trial02</t>
  </si>
  <si>
    <t>0810_Turb18AD_FixedTurb_H0p508_T2p91_default_FF0p1</t>
  </si>
  <si>
    <t>PID P5 I0.5 FF0p1</t>
  </si>
  <si>
    <t>FF 0.1; went unstable during ramp; KRalphaexplcit 0.5</t>
  </si>
  <si>
    <t>20260810_monopile_trial02_offline</t>
  </si>
  <si>
    <t>0810_Turb18AD_FixedTurb_offline_FF0p1</t>
  </si>
  <si>
    <t>2_offline</t>
  </si>
  <si>
    <t>without AFC; offline case; went unstable during ramp; KRalphaexplcit 0.5</t>
  </si>
  <si>
    <t>20260810_monopile_trial03</t>
  </si>
  <si>
    <t>0810_Turb18AD_FixedTurb_offline_FF0p1_wAFC</t>
  </si>
  <si>
    <t>PID P3.5 I0.5 FF0p1</t>
  </si>
  <si>
    <t>with AFC; offline case; went unstable; KRalphaexplcit 0.5</t>
  </si>
  <si>
    <t>20260810_monopile_trial04</t>
  </si>
  <si>
    <t>0810_Turb18AD_FixedTurb_offline_P5_FF0p1_wAFC</t>
  </si>
  <si>
    <t>PID P5 I0.5 FF0p01</t>
  </si>
  <si>
    <t>with AFC; offline case; did not go unstable; KRalphaexplcit 0.5</t>
  </si>
  <si>
    <t>20260810_monopile_trial05</t>
  </si>
  <si>
    <t>0810_Turb18AD_FixedTurb_offline_P5_FF0p005_wAFC</t>
  </si>
  <si>
    <t>PID P5 I0.5 FF0p005</t>
  </si>
  <si>
    <t>w AFC; offline; didnt go unstable but stopped; KRalphaexplcit 0.5</t>
  </si>
  <si>
    <t>20260810_monopile_trial06</t>
  </si>
  <si>
    <t>0810_Turb18AD_FixedTurb_offline_P5p5_wAFC</t>
  </si>
  <si>
    <t xml:space="preserve">PID P5.5 I0.5 </t>
  </si>
  <si>
    <t>w AFC;offline; KRalphaexplcit 0.5</t>
  </si>
  <si>
    <t>20260810_monopile_trial07</t>
  </si>
  <si>
    <t>0810_Turb24AD_FixedTurb_offline</t>
  </si>
  <si>
    <t xml:space="preserve">PID P5 I0.5 </t>
  </si>
  <si>
    <t>wAFC; offline; KRalphaexplcit 0.5</t>
  </si>
  <si>
    <t>20260810_monopile_trial08</t>
  </si>
  <si>
    <t>0810_Turb24AD_FixedTurb_H0p508_T2p91</t>
  </si>
  <si>
    <t>keeping the same P5 I0.5; KRalphaexplcit 0.5</t>
  </si>
  <si>
    <t>20260810_monopile_trial09</t>
  </si>
  <si>
    <t>0810_Turb24AD_FixedTurb_offline_stiff10</t>
  </si>
  <si>
    <t>offline, wAFC; but all eta_mon and eta_stiff is 10 instead of 1000 earlier; KRalphaexplcit 0.5</t>
  </si>
  <si>
    <t>20260810_monopile_trial10</t>
  </si>
  <si>
    <t>0810_Turb24AD_FixedTurb_H1p35_T3p172</t>
  </si>
  <si>
    <t>broken wave; stiffness to 100; alphaOS 0.5; software interlock tripped; lasted 4 cycles</t>
  </si>
  <si>
    <t>20260810_monopile_trial11</t>
  </si>
  <si>
    <t>0810_Turb24AD_FixedTurb_H1p35_T3p172_alpha0</t>
  </si>
  <si>
    <t>broken wave; alphaOS 0; lasted 8 cycles</t>
  </si>
  <si>
    <t>20260810_monopile_trial12</t>
  </si>
  <si>
    <t>0810_Turb24AD_FixedTurb_H1p35_T3p172_alpha0_3pDamping</t>
  </si>
  <si>
    <t>alpha0; bump damping to 3%; mass and stiffness 0.034468 0 0 0.02321</t>
  </si>
  <si>
    <t>20260810_monopile_Trial13</t>
  </si>
  <si>
    <t>0810_Turb24AD_FixedTurb_H1p35_T3p172_alpha0_3pDamping_Trial02</t>
  </si>
  <si>
    <t>running above same case, moved interlocks to bigger range; unstable during ramp</t>
  </si>
  <si>
    <t>20260810_monopile_Trial14</t>
  </si>
  <si>
    <t>0810_Turb24AD_FixedTurb_offline_Trial02</t>
  </si>
  <si>
    <t>ramped fine</t>
  </si>
  <si>
    <t>20260810_monopile_Trial15</t>
  </si>
  <si>
    <t>0810_Turb24AD_FixedTurb_H1p35_T3p172_alpha0_3pDamping_Trial03</t>
  </si>
  <si>
    <t>unstable in the middle after two cycles</t>
  </si>
  <si>
    <t>20260810_monopile_Trial16</t>
  </si>
  <si>
    <t>0810_Turb24AD_FixedTurb_H1p35_T3p172_noRayleigh</t>
  </si>
  <si>
    <t>back to 2% hybrid damping, no rayleigh damping on springs; alpha0</t>
  </si>
  <si>
    <t>20260810_monopile_Trial17</t>
  </si>
  <si>
    <t>0810_Turb24AD_FixedTurb_offline_rayleighP3p5</t>
  </si>
  <si>
    <t xml:space="preserve">PID P3.5 I0.5 </t>
  </si>
  <si>
    <t xml:space="preserve">rayleigh on; P3.5; 2% hybrid damping </t>
  </si>
  <si>
    <t>20260810_monopile_Trial18</t>
  </si>
  <si>
    <t>0810_Turb24AD_FixedTurb_H1p35_T3p172_rayleighP3p5</t>
  </si>
  <si>
    <t>do rayleigh on; P3.5; 2% hybrid damping ; software interlock</t>
  </si>
  <si>
    <t>20260810_monopile_Trial19</t>
  </si>
  <si>
    <t>0810_H1p35_T3p172_hold</t>
  </si>
  <si>
    <t>hold, actuator command 0; interlocks tripped</t>
  </si>
  <si>
    <t>20260810_monopile_Trial20</t>
  </si>
  <si>
    <t>0810_Turb24AD_FixedTurb_H1p1_T3p172</t>
  </si>
  <si>
    <t>do rayleigh on; 2% hybrid; went unstable LC interlocks tripped (way earlier)</t>
  </si>
  <si>
    <t>20260810_monopile_Trial21</t>
  </si>
  <si>
    <t>0810_Turb11p4AD_FixedTurb_H1p35_T3p172</t>
  </si>
  <si>
    <t>changed to smaller wind</t>
  </si>
  <si>
    <t>20260810_monopile_Trial22</t>
  </si>
  <si>
    <t>0810_Turb18AD_FixedTurb_H1p0_T5p529</t>
  </si>
  <si>
    <t>20260810_monopile_Trial23</t>
  </si>
  <si>
    <t>0810_Turb18AD_FixedTurb_offline_elasticBeam</t>
  </si>
  <si>
    <t>offline; noisy</t>
  </si>
  <si>
    <t>0810_Turb18AD_FixedTurb_H0p508_T2p91_irr</t>
  </si>
  <si>
    <t>bret schneider spectrum, random wave; something went wrong on datalog</t>
  </si>
  <si>
    <t>20260810_monopile_Trial24</t>
  </si>
  <si>
    <t>0810_Turb11p4AD_FixedTurb_H0p508_T2p91_irr</t>
  </si>
  <si>
    <t>bret schneider spectrum, random wave; unstable around 135s</t>
  </si>
  <si>
    <t>20260810_monopile_Trial25</t>
  </si>
  <si>
    <t>0810_Turb11p4AD_FixedTurb_offline_Trial01</t>
  </si>
  <si>
    <t>PID P5 I0.5 FF 0p02</t>
  </si>
  <si>
    <t>adding FF 0.02; rayleigh 2% damping stiffness only; fine</t>
  </si>
  <si>
    <t>20260810_monopile_Trial26</t>
  </si>
  <si>
    <t>0810_Turb11p4AD_FixedTurb_H0p508_T2p91_irr_FF0p02</t>
  </si>
  <si>
    <t>adding FF 0.02; rayleigh 2% damping stiffness only; unstable towaards 200s</t>
  </si>
  <si>
    <t>20260810_monopile_Trial27</t>
  </si>
  <si>
    <t>0810_Turb11p4AD_FixedTurb_H0p508_T2p91_irr_N3</t>
  </si>
  <si>
    <t>change dt to Nparam=3</t>
  </si>
  <si>
    <t>20260810_monopile_Trial28</t>
  </si>
  <si>
    <t>0810_Turb11p4AD_FixedTurb_H0p508_T2p91_irr_N3_maxIter</t>
  </si>
  <si>
    <t>Nparam=3; max iterations on forcebeamCol -iter2 1e-8</t>
  </si>
  <si>
    <t>20260810_monopile_Trial29</t>
  </si>
  <si>
    <t>0810_H0p508_T2p91_irr_hold</t>
  </si>
  <si>
    <t>hold case</t>
  </si>
  <si>
    <t>08/04/2026 - Tues</t>
  </si>
  <si>
    <t>20260811_monopile_Trial01</t>
  </si>
  <si>
    <t>0811_Turb18AD_FixedTurb_H0p508_T2p91_N10</t>
  </si>
  <si>
    <t>PID P5 I0.5 FF 0p02; F2 0p001</t>
  </si>
  <si>
    <t>alpha0, damping 4s; has slowdown states; nrmse 1%</t>
  </si>
  <si>
    <t>Solitary LC14, sDOF RTHS: period 2</t>
  </si>
  <si>
    <t>20260811_monopile_Trial02</t>
  </si>
  <si>
    <t>0811_Turb18AD_FixedTurb_H0p508_T2p91_N10_krAlpha</t>
  </si>
  <si>
    <t>Solitary LC14, sDOF RTHS: period 4</t>
  </si>
  <si>
    <t>Solitary LC13, sDOF RTHS: period 2</t>
  </si>
  <si>
    <t>kralpha 0.0; has slowdown states; nrmse 1%</t>
  </si>
  <si>
    <t>20260811_monopile_Trial03</t>
  </si>
  <si>
    <t>0811_Turb18AD_FixedTurb_H0p508_T2p91_N10_dispBC</t>
  </si>
  <si>
    <t>dispBC 3integration pts; N10; alpha 0.0; has slowdown states; nrmse 1%</t>
  </si>
  <si>
    <t>Solitary LC13, sDOF RTHS: period 4</t>
  </si>
  <si>
    <t>20260811_monopile_Trial04</t>
  </si>
  <si>
    <t>0811_Turb18AD_FixedTurb_H0p508_T2p91_N10_forceBC3</t>
  </si>
  <si>
    <t>RTHS LC1: OC3Monopile</t>
  </si>
  <si>
    <t>N10; forceBC 3 max iters; alpha 0.0</t>
  </si>
  <si>
    <t>CLEANUP</t>
  </si>
  <si>
    <t>20260811_monopile_Trial05</t>
  </si>
  <si>
    <t>0811_Turb18AD_FixedTurb_H0p508_T2p91_N15_forceBC3</t>
  </si>
  <si>
    <r>
      <rPr>
        <rFont val="Calibri"/>
        <b/>
        <color rgb="FF4A86E8"/>
      </rPr>
      <t>Summary</t>
    </r>
    <r>
      <rPr>
        <rFont val="Calibri"/>
        <color theme="1"/>
      </rPr>
      <t>: Cleanup</t>
    </r>
  </si>
  <si>
    <t>RTHS LC2: OC3Monopile</t>
  </si>
  <si>
    <t>N15; forceBC 3 max iters; alpha 0.0</t>
  </si>
  <si>
    <t>20260811_monopile_Trial06</t>
  </si>
  <si>
    <t>RTHS LC3: OC3Monopile</t>
  </si>
  <si>
    <t>same but N13 param</t>
  </si>
  <si>
    <t>20260811_monopile_Trial07</t>
  </si>
  <si>
    <t>0811_Turb18AD_FixedTurb_H1p0_T5p529_N13_forceBC3</t>
  </si>
  <si>
    <t>went unstable after 2nd peak</t>
  </si>
  <si>
    <t>20260811_monopile_Trial08</t>
  </si>
  <si>
    <t>0811_Turb18AD_FixedTurb_H1p0_T5p529_N5_forceBC3</t>
  </si>
  <si>
    <r>
      <rPr>
        <rFont val="Calibri"/>
        <color theme="1"/>
      </rPr>
      <t>Run a not breaking solitary wave (LC15 baseline) on sDOF model, vary</t>
    </r>
    <r>
      <rPr>
        <rFont val="Calibri"/>
        <color rgb="FFCC0000"/>
      </rPr>
      <t xml:space="preserve"> </t>
    </r>
    <r>
      <rPr>
        <rFont val="Calibri"/>
        <b/>
        <color rgb="FFCC0000"/>
      </rPr>
      <t>period</t>
    </r>
    <r>
      <rPr>
        <rFont val="Calibri"/>
        <color theme="1"/>
      </rPr>
      <t xml:space="preserve"> (2,4s)</t>
    </r>
  </si>
  <si>
    <t>20260811_monopile_Trial09</t>
  </si>
  <si>
    <t>0811_Turb18AD_FixedTurb_H1p0_T5p529_N5_forceBC3_P2</t>
  </si>
  <si>
    <t>-&gt; breaking</t>
  </si>
  <si>
    <t>lower p gain</t>
  </si>
  <si>
    <t>20260811_monopile_Trial10</t>
  </si>
  <si>
    <t>0811_Turb18AD_FixedTurb_H0p67_T5p529_N13_forceBC3</t>
  </si>
  <si>
    <t>-&gt; broken</t>
  </si>
  <si>
    <t>change wave height</t>
  </si>
  <si>
    <t>20260811_monopile_Trial11</t>
  </si>
  <si>
    <t>0811_Turb18AD_FixedTurb_H1p35_T3p172_N13</t>
  </si>
  <si>
    <t>regular-11</t>
  </si>
  <si>
    <t>-&gt; steady, baseline OC3Mnpl case</t>
  </si>
  <si>
    <t>broken wave</t>
  </si>
  <si>
    <t>20260811_monopile_Trial12</t>
  </si>
  <si>
    <t>0811_Turb24AD_FixedTurb_H1p35_T3p172_N13</t>
  </si>
  <si>
    <t>-&gt; steady versions of the OC3Mnpl case</t>
  </si>
  <si>
    <t>regular-12</t>
  </si>
  <si>
    <t>-&gt; steady OC3Mnpl case</t>
  </si>
  <si>
    <t>PID P5 I0.5; F2 0.001</t>
  </si>
  <si>
    <t>broken wave; we had the F2 gain on at 0.001</t>
  </si>
  <si>
    <t>20260811_monopile_Trial13</t>
  </si>
  <si>
    <t>0811_Turb24AD_FixedTurb_H1p35_T3p172_N13_Trial02</t>
  </si>
  <si>
    <t>20260811_monopile_Trial14</t>
  </si>
  <si>
    <t>0811_Turb24AD_FixedTurb_H0p508_T2p91_irr_N13</t>
  </si>
  <si>
    <t>irreg-14</t>
  </si>
  <si>
    <t>irreeg</t>
  </si>
  <si>
    <t>20260811_monopile_Trial15</t>
  </si>
  <si>
    <t>0811_Turb24AD_FixedTurb_H0p508_T2p91_N13</t>
  </si>
  <si>
    <t>reg-15</t>
  </si>
  <si>
    <r>
      <rPr>
        <rFont val="Calibri"/>
        <color theme="1"/>
      </rPr>
      <t xml:space="preserve">Run a breaking solitary wave (LC14) on sDOF model, vary </t>
    </r>
    <r>
      <rPr>
        <rFont val="Calibri"/>
        <b/>
        <color rgb="FFFF0000"/>
      </rPr>
      <t>period</t>
    </r>
    <r>
      <rPr>
        <rFont val="Calibri"/>
        <color theme="1"/>
      </rPr>
      <t xml:space="preserve"> (2,4s)</t>
    </r>
  </si>
  <si>
    <t>20260811_monopile_Trial16</t>
  </si>
  <si>
    <t>0811_Turb24AD_FixedTurb_H0p508_T2p91_N13_elastic</t>
  </si>
  <si>
    <t>reg-16</t>
  </si>
  <si>
    <t>elasticBC</t>
  </si>
  <si>
    <t>20260811_monopile_Trial17</t>
  </si>
  <si>
    <t>0811_Turb24AD_FixedTurb_H0p897_T4p976_irr_N13</t>
  </si>
  <si>
    <t>irreg-17</t>
  </si>
  <si>
    <t>-&gt; INCREASE WATER DEPTH</t>
  </si>
  <si>
    <t>borderline breaking; extreme 50y full scale 10.6m, 17.1s; essentially an offline wind case; the wave generator was being really slow</t>
  </si>
  <si>
    <t>20260811_monopile_Trial18</t>
  </si>
  <si>
    <t>0811_Turb24AD_FixedTurb_H0p897_T4p976_irr_N13_Trial02</t>
  </si>
  <si>
    <t>Numerical model inputs</t>
  </si>
  <si>
    <t>irreg-18</t>
  </si>
  <si>
    <t>only a minute long</t>
  </si>
  <si>
    <t>20260811_monopile_Trial19</t>
  </si>
  <si>
    <t>0811_Turb24AD_FixedTurb_H0p897_T4p976_irr_N13_Trial03</t>
  </si>
  <si>
    <t>irreg-19</t>
  </si>
  <si>
    <t>faulted</t>
  </si>
  <si>
    <t>20260811_monopile_Trial20</t>
  </si>
  <si>
    <t>0811_Turb24AD_FixedTurb_H0p897_T4p976_irr_N13_Trial04</t>
  </si>
  <si>
    <t>irreg-20</t>
  </si>
  <si>
    <t>PID P4.5 I0.5 FF 0p01</t>
  </si>
  <si>
    <r>
      <rPr>
        <rFont val="Calibri"/>
        <color theme="1"/>
        <sz val="11.0"/>
      </rPr>
      <t xml:space="preserve">Run a broken solitary wave (LC13) on sDOF model, vary </t>
    </r>
    <r>
      <rPr>
        <rFont val="Calibri"/>
        <b/>
        <color rgb="FFFF0000"/>
        <sz val="11.0"/>
      </rPr>
      <t>period</t>
    </r>
    <r>
      <rPr>
        <rFont val="Calibri"/>
        <color theme="1"/>
        <sz val="11.0"/>
      </rPr>
      <t xml:space="preserve"> (2,4s)</t>
    </r>
  </si>
  <si>
    <t>20260811_monopile_Trial21</t>
  </si>
  <si>
    <t>0811_Turb24AD_FixedTurb_H0p88_T4p2_N13</t>
  </si>
  <si>
    <t>reg-21</t>
  </si>
  <si>
    <t>sticking with same parameters</t>
  </si>
  <si>
    <t>ran fine; AFC params not logged right</t>
  </si>
  <si>
    <t>numerical models</t>
  </si>
  <si>
    <t>20260812_monopile_Trial01</t>
  </si>
  <si>
    <t>0812_Turb24AD_FixedTurb_H0p508_T2p91_N13_AFC</t>
  </si>
  <si>
    <t>reg; modify AFC: exepcted gain (1); expected sys delay 0.03s (originally 0); allowable sys delay (1, originally 0); min span changed from 0.004 to 0.007; data window length (from 1s to )</t>
  </si>
  <si>
    <t>a bunch of testRun01,02 for tuning AFC offline</t>
  </si>
  <si>
    <t>testRun03</t>
  </si>
  <si>
    <t>original params: exepcted gain (1); expected sys delay 0; allowable sys delay 0; min span changed from 0.004; data window length 1s</t>
  </si>
  <si>
    <t>testRun04</t>
  </si>
  <si>
    <t>only changed span 0.007</t>
  </si>
  <si>
    <r>
      <rPr>
        <rFont val="Calibri"/>
        <color theme="1"/>
        <sz val="11.0"/>
      </rPr>
      <t xml:space="preserve">RTHS: </t>
    </r>
    <r>
      <rPr>
        <rFont val="Calibri"/>
        <b/>
        <color rgb="FFCC0000"/>
        <sz val="11.0"/>
      </rPr>
      <t>steady</t>
    </r>
    <r>
      <rPr>
        <rFont val="Calibri"/>
        <color theme="1"/>
        <sz val="11.0"/>
      </rPr>
      <t xml:space="preserve">, baseline OC3Mnpl cases LC1-3 for </t>
    </r>
    <r>
      <rPr>
        <rFont val="Calibri"/>
        <color theme="1"/>
        <sz val="11.0"/>
        <u/>
      </rPr>
      <t xml:space="preserve">standard </t>
    </r>
    <r>
      <rPr>
        <rFont val="Calibri"/>
        <color theme="1"/>
        <sz val="11.0"/>
      </rPr>
      <t>reg waves</t>
    </r>
  </si>
  <si>
    <t>testRun05</t>
  </si>
  <si>
    <t>only changed span 0.005</t>
  </si>
  <si>
    <t>testRun06</t>
  </si>
  <si>
    <t>data window length 2s, span 0.004</t>
  </si>
  <si>
    <t>expDelay0p03</t>
  </si>
  <si>
    <t>sDOF model (scale factor: 3; periods - 2,4s) - 1x scale, 2 periods, 3 waves (not break, breaking, broken)</t>
  </si>
  <si>
    <t>span0p003</t>
  </si>
  <si>
    <t>span 0.003</t>
  </si>
  <si>
    <t>LINED UP THE CYLINDER WITH STEEL BEAMS after here</t>
  </si>
  <si>
    <t>sysgain limit 0.5</t>
  </si>
  <si>
    <t>OC3 Mnpl with p-y soil</t>
  </si>
  <si>
    <t>sys delay limit</t>
  </si>
  <si>
    <t>changed units going into AFC is inches now</t>
  </si>
  <si>
    <t>unitsAFC</t>
  </si>
  <si>
    <t>PID P3.5 I0.5</t>
  </si>
  <si>
    <t xml:space="preserve">akiri params: exepcted gain (1); expected sys delay 0.033; allowable sys delay 1; gain lim 1; delay rate 0.02, data window length 1s;min span changed from 0.004; </t>
  </si>
  <si>
    <t>unitsAFC_changedP</t>
  </si>
  <si>
    <t>PID P4.5 I0.5 F0.01</t>
  </si>
  <si>
    <t>unitsAFC_window2</t>
  </si>
  <si>
    <t>window 2, ^^</t>
  </si>
  <si>
    <t>unitsAFC_window0p5</t>
  </si>
  <si>
    <t>window0p5</t>
  </si>
  <si>
    <t>unitsAFC_span0p003</t>
  </si>
  <si>
    <t xml:space="preserve">akiri params: exepcted gain (1); expected sys delay 0.033; allowable sys delay 1; gain lim 1; delay rate 0.02, data window length 1s;min span changed from 0.003; </t>
  </si>
  <si>
    <t>20260812_monopile_Trial02</t>
  </si>
  <si>
    <t>0812_Turb33AD_FixedTurb_H0p897_T4p976_irr_N13</t>
  </si>
  <si>
    <t>irreg-1</t>
  </si>
  <si>
    <t>OC3 Mnpl with bridge soil</t>
  </si>
  <si>
    <t>reg; modify AFC: exepcted gain (1); expected sys delay 0.033s (originally 0); allowable sys delay (1, originally 0); min span changed from 0.004 to 0.007; data window length (from 1s to )</t>
  </si>
  <si>
    <t>20260812_monopile_Trial03</t>
  </si>
  <si>
    <t>0812_Turb33AD_FixedTurb_H0p847_T3p433_irr_N13</t>
  </si>
  <si>
    <t>irreg-2</t>
  </si>
  <si>
    <t>50 y extreme - maine; ran full way thru</t>
  </si>
  <si>
    <t>OC3 Mnpl with flexural springs</t>
  </si>
  <si>
    <t>20260812_monopile_Trial04</t>
  </si>
  <si>
    <t>0812_Turb33AD_FixedTurb_H0p686_T3p084_irr_N13</t>
  </si>
  <si>
    <t>irreg-3</t>
  </si>
  <si>
    <t>50 y extreme; unstable around 155s</t>
  </si>
  <si>
    <t>20260812_monopile_Trial05</t>
  </si>
  <si>
    <t>0812_Turb33AD_FixedTurb_H0p686_T3p084_irr_N13_AFC</t>
  </si>
  <si>
    <t>irreg-4</t>
  </si>
  <si>
    <r>
      <rPr>
        <rFont val="Calibri"/>
        <color theme="1"/>
      </rPr>
      <t xml:space="preserve">50 y extreme; exepcted gain (1); expected sys delay 0.033s (originally 0); allowable sys delay (1, originally 0); min span changed from 0.004; data window length (1); </t>
    </r>
    <r>
      <rPr>
        <rFont val="Calibri"/>
        <color rgb="FFFF0000"/>
      </rPr>
      <t>sys gain rate limit to 0.5; using akiri ATS_setup.m</t>
    </r>
  </si>
  <si>
    <t>20260812_monopile_Trial06</t>
  </si>
  <si>
    <t>0812_Turb24AD_pySpringTurb_offline_noAFC</t>
  </si>
  <si>
    <t>did not have the AFC</t>
  </si>
  <si>
    <t>0812_Turb24AD_pySpringTurb_offline_wAFC</t>
  </si>
  <si>
    <t>w the AFC</t>
  </si>
  <si>
    <t>upFact both set to 1; slowdown set to *0.85</t>
  </si>
  <si>
    <t>20260812_monopile_Trial07</t>
  </si>
  <si>
    <t>0812_Turb24AD_pySpringTurb_H0p508_T2p91_reg</t>
  </si>
  <si>
    <t>reg-5</t>
  </si>
  <si>
    <t>soil; upFact both set to 1; slowdown set to *0.85; but now AD was not turned on properly; basically steady wind case</t>
  </si>
  <si>
    <t>20260812_monopile_offline</t>
  </si>
  <si>
    <t>0812_Turb24AD_pySpringTurb_offline</t>
  </si>
  <si>
    <t>20260812_monopile_Trial08</t>
  </si>
  <si>
    <t>0812_Turb24AD_pySpringTurb_H0p508_T2p91_reg_Trial02</t>
  </si>
  <si>
    <t>reg-6</t>
  </si>
  <si>
    <t>ran fine</t>
  </si>
  <si>
    <t>20260812_monopile_Trial09</t>
  </si>
  <si>
    <t>0812_Turb24AD_pySpringTurb_H0p508_T2p91_irr</t>
  </si>
  <si>
    <t>irreg-7</t>
  </si>
  <si>
    <t>20260812_monopile_Trial10</t>
  </si>
  <si>
    <t>0812_H0p897_T4p976_hold</t>
  </si>
  <si>
    <t>irreg-8</t>
  </si>
  <si>
    <t>20260812_monopile_Trial11</t>
  </si>
  <si>
    <t>0812_H0p897_T4p976_hold_Trial02</t>
  </si>
  <si>
    <t>irreg-9</t>
  </si>
  <si>
    <t>20260812_monopile_Trial12</t>
  </si>
  <si>
    <t>0812_H0p847_T3p433_irr_hold</t>
  </si>
  <si>
    <t>irreg-10</t>
  </si>
  <si>
    <t>20260812_monopile_Trial13</t>
  </si>
  <si>
    <t>0812_H0p847_T3p433_hold_Trial02</t>
  </si>
  <si>
    <t>irreg-11</t>
  </si>
  <si>
    <t>fan was on for this one</t>
  </si>
  <si>
    <t>20260812_monopile_Trial14</t>
  </si>
  <si>
    <t>0812_H0p686_T3p084_hold</t>
  </si>
  <si>
    <t>irreg-12</t>
  </si>
  <si>
    <t>Similitude</t>
  </si>
  <si>
    <t>20260812_monopile_Trial15</t>
  </si>
  <si>
    <t>0812_Turb24AD_180FixedTurb_H0p508_T2p91_reg</t>
  </si>
  <si>
    <t>reg-13</t>
  </si>
  <si>
    <t>flipped the turbine around; opensees going into AD is flipped, aerodyn forces are flipped; maybe forgot to log opensees data</t>
  </si>
  <si>
    <t>^^ DID NOT WIRE THROUGH AFC</t>
  </si>
  <si>
    <t>20260812_monopile_Trial16</t>
  </si>
  <si>
    <t>0812_Turb33AD_180FixedTurb_H0p897_T4p976_irr</t>
  </si>
  <si>
    <t>weird noise in the beginning, maybe from the fan; AFC was not on</t>
  </si>
  <si>
    <t>20260812_monopile_Trial17</t>
  </si>
  <si>
    <t>0812_Turb33AD_180FixedTurb_H0p897_T4p976_irr_Trial02</t>
  </si>
  <si>
    <t>irreg-15</t>
  </si>
  <si>
    <t>varying similitude laws</t>
  </si>
  <si>
    <t>20260813_monopile_Trial01</t>
  </si>
  <si>
    <t>0813_Turb24AD_pYTurb_H0p508_T2p91</t>
  </si>
  <si>
    <t>reg-1</t>
  </si>
  <si>
    <t>soil model; had internet on</t>
  </si>
  <si>
    <t>20260813_monopile_Trial02</t>
  </si>
  <si>
    <t>0813_Turb24AD_pYTurb_H0p508_T2p91_Trial02</t>
  </si>
  <si>
    <t>reg-2</t>
  </si>
  <si>
    <t>20260813_monopile_Trial03</t>
  </si>
  <si>
    <t>0813_Turb24AD_pYTurb_H0p508_T2p91_krAlpha</t>
  </si>
  <si>
    <t>reg-3</t>
  </si>
  <si>
    <t>changed computer to turbo performance!!! WORKED; no more slow downs</t>
  </si>
  <si>
    <t>Fr</t>
  </si>
  <si>
    <t>CHANGED COMP TO TURBO MODE</t>
  </si>
  <si>
    <t>20260813_monopile_Trial04</t>
  </si>
  <si>
    <t>0813_Turb24AD_pYTurb_H0p508_T2p91_N5</t>
  </si>
  <si>
    <t>reg-4</t>
  </si>
  <si>
    <t>0813_Turb24AD_pYTurb_H0p508_T2p91_N10</t>
  </si>
  <si>
    <t>didnt have AFC on</t>
  </si>
  <si>
    <t>20260813_monopile_Trial06</t>
  </si>
  <si>
    <t>0813_Turb24AD_pYTurb_H0p508_T2p91_N10_Trial03</t>
  </si>
  <si>
    <t>reg-7</t>
  </si>
  <si>
    <t>Day 1 - Wed 7/15</t>
  </si>
  <si>
    <t>alphaos0.0, same 4s damping, N10param; 3 iterations</t>
  </si>
  <si>
    <t>Re</t>
  </si>
  <si>
    <t>20260813_monopile_Trial08</t>
  </si>
  <si>
    <t>0813_Turb24AD_pYTurb_H0p508_T2p91_N12_RealRun</t>
  </si>
  <si>
    <t>reg-8</t>
  </si>
  <si>
    <t>Day 2 - Thurs 7/16</t>
  </si>
  <si>
    <t>PID 4p5, 0.5, 0.01</t>
  </si>
  <si>
    <t>went fine</t>
  </si>
  <si>
    <t>Day 3 - Fri 7/17</t>
  </si>
  <si>
    <t>20260813_monopile_Trial09</t>
  </si>
  <si>
    <t>0813_Turb33AD_pYTurb_H0p897_T4p976_irr</t>
  </si>
  <si>
    <t>N12; went unstable</t>
  </si>
  <si>
    <t>20260813_monopile_Trial10</t>
  </si>
  <si>
    <t>0813_Turb33AD_pYTurb_H0p897_T4p976_irr_AFC0p3</t>
  </si>
  <si>
    <t>08/05/2026 - Wed</t>
  </si>
  <si>
    <t>AFC rate lim 0.3</t>
  </si>
  <si>
    <t>Ca</t>
  </si>
  <si>
    <t>20260813_monopile_Trial11</t>
  </si>
  <si>
    <t>0813_Turb33AD_pYTurb_H0p897_T4p976_irr_AFC0p3_PID</t>
  </si>
  <si>
    <t>Setup MTS controller; Install SCRAMNEt cards</t>
  </si>
  <si>
    <t>Help with installing cylinder/sensors/actuator, wave gauge information</t>
  </si>
  <si>
    <t>Help install</t>
  </si>
  <si>
    <t>PID 4p5, 0.5</t>
  </si>
  <si>
    <t>AFC rate lim 0.3, window length 2s, no Fgain on pid; went unstable</t>
  </si>
  <si>
    <t>RTHS Re_LC1_steady: OC3Monopile (reg waves)</t>
  </si>
  <si>
    <t>20260813_monopile_Trial12</t>
  </si>
  <si>
    <t>0813_Turb33AD_pYTurb_H0p897_T4p976_irr_AFC_PID_F</t>
  </si>
  <si>
    <t>AFC rate lim 0.3, window length 2s; simulink model wasnt built</t>
  </si>
  <si>
    <t>RTHS Re_LC3_turbulent: OC3Monopile (reg waves)</t>
  </si>
  <si>
    <t>20260813_monopile_Trial13</t>
  </si>
  <si>
    <t>0813_Turb33AD_pYTurb_H0p897_T4p976_irr_AFC2_F</t>
  </si>
  <si>
    <t>AFC rate lim 0.3, window length 2s; unstable</t>
  </si>
  <si>
    <t>RTHS Ca_LC1_steady: OC3Monopile (reg waves)</t>
  </si>
  <si>
    <t>20260813_monopile_Trial14</t>
  </si>
  <si>
    <t>0813_Turb33AD_FixedTurb_H0p897_T4p976_irr</t>
  </si>
  <si>
    <t>RTHS Ca_LC3_turb: OC3Monopile (reg waves)</t>
  </si>
  <si>
    <t>irreg-13</t>
  </si>
  <si>
    <t>AFC rate lim 0.5, window length 1s; went unstable; OS was set to N13, but AD was N12</t>
  </si>
  <si>
    <t>20260813_monopile_Trial16</t>
  </si>
  <si>
    <t>0813_Turb33AD_FixedTurb_offlineTest</t>
  </si>
  <si>
    <t>Solitary LC15</t>
  </si>
  <si>
    <t>20260813_monopile_Trial17</t>
  </si>
  <si>
    <t>0813_Turb33AD_FixedTurb_H0p897_T4p976_irr_AFC</t>
  </si>
  <si>
    <t>delay rate limit from 0.02-&gt;0.01; gain rate 0.3; window 0.5s, N13</t>
  </si>
  <si>
    <t>20260813_monopile_Trial18</t>
  </si>
  <si>
    <r>
      <rPr>
        <rFont val="Calibri"/>
        <color theme="1"/>
        <sz val="11.0"/>
      </rPr>
      <t xml:space="preserve">RTHS: </t>
    </r>
    <r>
      <rPr>
        <rFont val="Calibri"/>
        <b/>
        <color rgb="FFCC0000"/>
        <sz val="11.0"/>
      </rPr>
      <t>turbulent</t>
    </r>
    <r>
      <rPr>
        <rFont val="Calibri"/>
        <color theme="1"/>
        <sz val="11.0"/>
      </rPr>
      <t xml:space="preserve">, baseline OC3Mnpl cases LC2-3 for </t>
    </r>
    <r>
      <rPr>
        <rFont val="Calibri"/>
        <color theme="1"/>
        <sz val="11.0"/>
        <u/>
      </rPr>
      <t xml:space="preserve">standard </t>
    </r>
    <r>
      <rPr>
        <rFont val="Calibri"/>
        <color theme="1"/>
        <sz val="11.0"/>
      </rPr>
      <t>reg waves</t>
    </r>
  </si>
  <si>
    <t>0813_Turb33AD_FixedTurb_H0p847_T3p433_irr_AFC</t>
  </si>
  <si>
    <t>irreg-16</t>
  </si>
  <si>
    <t>same params as above; RAN ALL THE WAY THRU; N13</t>
  </si>
  <si>
    <t>-&gt; turbulent, baseline OC3Mnpl case</t>
  </si>
  <si>
    <t>20260813_monopile_Trial19</t>
  </si>
  <si>
    <t>0813_Steady8AD_Servo_FixedTurb_H0p508_T2p91_reg</t>
  </si>
  <si>
    <t>reg-17</t>
  </si>
  <si>
    <t>-&gt; turbulent OC3Mnpl case</t>
  </si>
  <si>
    <t>same params as above; RAN ALL THE WAY THRU</t>
  </si>
  <si>
    <t>20260813_monopile_Trial20</t>
  </si>
  <si>
    <t>0813_Steady8AD_Servo_FixedTurb_H0p508_T2p91_reg_Trial02</t>
  </si>
  <si>
    <t>Steady LC2-3</t>
  </si>
  <si>
    <t>reg-18</t>
  </si>
  <si>
    <t>same params; ran all way thru; delayed servodyn by 60s</t>
  </si>
  <si>
    <t>Sim. Ca LC2/3</t>
  </si>
  <si>
    <t>-&gt; reynolds similitude for steady winds</t>
  </si>
  <si>
    <t>-&gt; reynolds similitude for turbulent winds</t>
  </si>
  <si>
    <t>20260813_monopile_Trial21</t>
  </si>
  <si>
    <t>0813_Turb24AD_FixedTurb_windOnly_offline</t>
  </si>
  <si>
    <t>-&gt; cauchy similitude for steady winds</t>
  </si>
  <si>
    <t>RTHS Ca_LC1_steady</t>
  </si>
  <si>
    <t>-&gt; cauchy similitude for turbulent winds</t>
  </si>
  <si>
    <t>RTHS - sDOF (vary scale factor)</t>
  </si>
  <si>
    <t>20260813_monopile_Trial22</t>
  </si>
  <si>
    <t>RTHS - sDOF (vary period)</t>
  </si>
  <si>
    <t>0813_Turb24AD_FixedTurb_H0p508_T2p91_reg_ElCentro</t>
  </si>
  <si>
    <t>reg-19</t>
  </si>
  <si>
    <t>add EQ for fixed base, soil ; EQ at 150s</t>
  </si>
  <si>
    <t>20260813_monopile_Trial23</t>
  </si>
  <si>
    <t>0813_Turb33AD_FixedTurb_H0p847_T3p433_irr_ElCentro</t>
  </si>
  <si>
    <t>EQ and breaking wave timed together; unstable at 150s</t>
  </si>
  <si>
    <t>20260813_monopile_Trial24</t>
  </si>
  <si>
    <t>0813_Turb33AD_FixedTurb_H0p847_T3p433_irr_ElCentro_Trial02</t>
  </si>
  <si>
    <t>irreg-21</t>
  </si>
  <si>
    <r>
      <rPr>
        <rFont val="Calibri"/>
        <color theme="1"/>
        <sz val="11.0"/>
      </rPr>
      <t>RTHS:</t>
    </r>
    <r>
      <rPr>
        <rFont val="Calibri"/>
        <b/>
        <color rgb="FFCC0000"/>
        <sz val="11.0"/>
      </rPr>
      <t xml:space="preserve"> varying similitude</t>
    </r>
    <r>
      <rPr>
        <rFont val="Calibri"/>
        <color theme="1"/>
        <sz val="11.0"/>
      </rPr>
      <t xml:space="preserve"> for steady (LC1) under </t>
    </r>
    <r>
      <rPr>
        <rFont val="Calibri"/>
        <color theme="1"/>
        <sz val="11.0"/>
        <u/>
      </rPr>
      <t>standard</t>
    </r>
    <r>
      <rPr>
        <rFont val="Calibri"/>
        <color theme="1"/>
        <sz val="11.0"/>
      </rPr>
      <t xml:space="preserve"> reg wave</t>
    </r>
  </si>
  <si>
    <t>shifted EQ to 180s; went unstable at 150s</t>
  </si>
  <si>
    <t>20260813_monopile_Trial25</t>
  </si>
  <si>
    <r>
      <rPr>
        <rFont val="Calibri"/>
        <color theme="1"/>
        <sz val="11.0"/>
      </rPr>
      <t xml:space="preserve">Actuator characterization tests; </t>
    </r>
    <r>
      <rPr>
        <rFont val="Calibri"/>
        <color rgb="FF38761D"/>
        <sz val="11.0"/>
      </rPr>
      <t>Post process data</t>
    </r>
  </si>
  <si>
    <t>Change wind loading file</t>
  </si>
  <si>
    <t>0813_Turb33AD_FixedTurb_notchFilter</t>
  </si>
  <si>
    <t>steady wind</t>
  </si>
  <si>
    <t>20260813_monopile_Trial26</t>
  </si>
  <si>
    <t>0813_Turb33AD_FixedTurb_H0p847_T3p433_irr_ElCentro_Trial03</t>
  </si>
  <si>
    <t>irreg-22</t>
  </si>
  <si>
    <t>change to irreg waves</t>
  </si>
  <si>
    <t>AFC param 1s window, limit 0.5, delay rate 0.02; unstable</t>
  </si>
  <si>
    <t>Characterize actuator; create transfer function?</t>
  </si>
  <si>
    <t>MAKING BLADE PITCH 22.5 from now on</t>
  </si>
  <si>
    <t>sDOF RTHS with solitary waves</t>
  </si>
  <si>
    <t>20260813_monopile_Trial27</t>
  </si>
  <si>
    <t>steady wind for OC3Mnpl (reg and irreg)</t>
  </si>
  <si>
    <t>0813_Turb24AD_FixedTurb_H0p508_T2p91_reg_BladePitch</t>
  </si>
  <si>
    <t>turbulent wind and with irreg waves</t>
  </si>
  <si>
    <t>reg-23</t>
  </si>
  <si>
    <t>put blade pitch of 22.5 in aerodyn; N13 for all</t>
  </si>
  <si>
    <r>
      <rPr>
        <rFont val="Calibri"/>
        <b/>
        <color rgb="FF4A86E8"/>
      </rPr>
      <t>Summary</t>
    </r>
    <r>
      <rPr>
        <rFont val="Calibri"/>
        <color theme="1"/>
      </rPr>
      <t>: Establish communications, hold/sDOF cases with varying scale/periods, test varying wind (steady, turb) under standard wave condition for benchmark OC3Monopile conditions</t>
    </r>
  </si>
  <si>
    <t>20260813_monopile_Trial28</t>
  </si>
  <si>
    <t>0813_Turb24AD_FixedTurb_Pitch_offline</t>
  </si>
  <si>
    <t>unstable w 10Hz filt</t>
  </si>
  <si>
    <t>20260813_monopile_Trial29</t>
  </si>
  <si>
    <t>PID 4p5, 0.5, 0.05</t>
  </si>
  <si>
    <t>20260814_monopile_Trial01</t>
  </si>
  <si>
    <t>0814_Turb33AD_FixedTurb_H0p847_T3p433_irr_ElCentro</t>
  </si>
  <si>
    <t>rotspeed and pitch off; unstable 30s in</t>
  </si>
  <si>
    <t>20260814_monopile_Trial02</t>
  </si>
  <si>
    <t>offline tuning; T5- window size 0.2s; T6- offline tuning pid (unstable), T7- gain 0.3</t>
  </si>
  <si>
    <t xml:space="preserve">AFC params: expected delay 0.034s, delay 1samp, gain rate lim 0.5, delay rate 0.02, window 1, span 0.004, </t>
  </si>
  <si>
    <t>0814_Turb33AD_FixedTurb_H0p847_T3p433_irr_ElCentro_Trial02</t>
  </si>
  <si>
    <t>went all the way thru, trial02 mts stuff; EQ at 180</t>
  </si>
  <si>
    <t>20260814_monopile_Trial03</t>
  </si>
  <si>
    <t>0814_Turb33AD_pYTurb_H0p847_T3p433_irr</t>
  </si>
  <si>
    <t>20260814_monopile_Trial04</t>
  </si>
  <si>
    <t>0814_Turb33AD_LinSpringTurb_offline</t>
  </si>
  <si>
    <t>20260814_monopile_Trial05</t>
  </si>
  <si>
    <t>0814_Turb33AD_LinSpringTurb_H0p847_T3p433_irr</t>
  </si>
  <si>
    <t>Reg/Irreg LC4-5</t>
  </si>
  <si>
    <t>20260814_monopile_Trial07</t>
  </si>
  <si>
    <t>0814_Turb24AD_LinSpringTurb_H0p508_T2p91_reg</t>
  </si>
  <si>
    <t>Reg/Irreg LC11-12</t>
  </si>
  <si>
    <t>has pitch in it</t>
  </si>
  <si>
    <t>20260814_monopile_Trial08</t>
  </si>
  <si>
    <t>0814_Turb24AD_FixedTurb_H1p35_T3p172_reg</t>
  </si>
  <si>
    <t>Turb LC2</t>
  </si>
  <si>
    <t>with pitch;unstable after 5 cycles</t>
  </si>
  <si>
    <t>Turb LC4-5</t>
  </si>
  <si>
    <t>Turb LC11-12</t>
  </si>
  <si>
    <t>20260814_monopile_Trial09</t>
  </si>
  <si>
    <t>0814_Turb24AD_clayTurb_offline</t>
  </si>
  <si>
    <t>RTHS - soil Fixed, linear</t>
  </si>
  <si>
    <t>unstable during EQ</t>
  </si>
  <si>
    <t>RTHS - soil p-y, bridge</t>
  </si>
  <si>
    <t>20260814_monopile_Trial10</t>
  </si>
  <si>
    <t>0814_Turb24AD_clayTurb_offline_krAlpha</t>
  </si>
  <si>
    <t>08/06/2026 - Thurs</t>
  </si>
  <si>
    <t>decreasing EQ by factor of 0.5</t>
  </si>
  <si>
    <t>20260814_monopile_Trial11</t>
  </si>
  <si>
    <t>0814_Turb24AD_clayTurb_H0p508_T2p91_reg</t>
  </si>
  <si>
    <t>unstable around 130s</t>
  </si>
  <si>
    <t>0814_Turb24AD_clayTurb_offline_Trial02</t>
  </si>
  <si>
    <t>unstable at EQ</t>
  </si>
  <si>
    <t>20260814_monopile_Trial13</t>
  </si>
  <si>
    <t>offline tuning w afc, damping</t>
  </si>
  <si>
    <t>Diff soil models; turb</t>
  </si>
  <si>
    <t>0814_Turb24AD_clayTurb_H0p508_T2p91_reg_Trial02</t>
  </si>
  <si>
    <t>turbulent winds from other literature</t>
  </si>
  <si>
    <t>steady winds for same wave cases in turbulent ones</t>
  </si>
  <si>
    <r>
      <rPr>
        <rFont val="Calibri"/>
        <b/>
        <color rgb="FF4A86E8"/>
      </rPr>
      <t>Summary</t>
    </r>
    <r>
      <rPr>
        <rFont val="Calibri"/>
        <color theme="1"/>
      </rPr>
      <t>: Test varying wind (up to extreme) for East Coast conditions under baseline monopile waves; Test various soil models under same steady wind, regular waves</t>
    </r>
  </si>
  <si>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theme="1"/>
        <sz val="11.0"/>
        <u/>
      </rPr>
      <t>standard</t>
    </r>
    <r>
      <rPr>
        <rFont val="Calibri"/>
        <color theme="1"/>
        <sz val="11.0"/>
      </rPr>
      <t xml:space="preserve"> reg waves (16,20,24m/s)</t>
    </r>
  </si>
  <si>
    <t>added 3% stiffness damping; data is on trial13</t>
  </si>
  <si>
    <t>20260814_monopile_Trial15</t>
  </si>
  <si>
    <t>0814_Turb24AD_clayTurb_H0p508_T2p91_reg_EQ</t>
  </si>
  <si>
    <t>reg-9</t>
  </si>
  <si>
    <t>unstable at EQ and 3% damping</t>
  </si>
  <si>
    <t>Reg/Irreg LC1</t>
  </si>
  <si>
    <t>20260814_monopile_Trial16</t>
  </si>
  <si>
    <t>Reg/Irreg LC2</t>
  </si>
  <si>
    <t>0814_Turb24AD_clayTurb_H0p508_T2p91_reg_EQ_5Damping_N6</t>
  </si>
  <si>
    <t>went unstable at 5s</t>
  </si>
  <si>
    <t>20260814_monopile_Trial17</t>
  </si>
  <si>
    <t>Reg LC9</t>
  </si>
  <si>
    <t>20260814_monopile_Trial18</t>
  </si>
  <si>
    <t>Reg LC10</t>
  </si>
  <si>
    <t>reg-12</t>
  </si>
  <si>
    <t>AD at N13, OS at N6; 5% damping on stiffness; survived EQ!!</t>
  </si>
  <si>
    <t>Additional - As needed</t>
  </si>
  <si>
    <t>20260814_monopile_Trial19</t>
  </si>
  <si>
    <t>0814_Turb24AD_clayTurb_H0p508_T2p91_reg_EQ1p0</t>
  </si>
  <si>
    <t>Turb LC9</t>
  </si>
  <si>
    <t>Turb LC10</t>
  </si>
  <si>
    <t>EQ at SF 1.0; still 5% damping, N6; did not survive EQ</t>
  </si>
  <si>
    <t>20260814_monopile_Trial20</t>
  </si>
  <si>
    <t>dryn run for the one below</t>
  </si>
  <si>
    <t>20260814_monopile_Trial21</t>
  </si>
  <si>
    <t>0814_Turb24AD_pYTurb_H0p508_T2p91_reg_Pitch</t>
  </si>
  <si>
    <t>reg-14</t>
  </si>
  <si>
    <t>20260814_monopile_Trial22</t>
  </si>
  <si>
    <t>0814_Turb33AD_clayTurb_H0p847_T3p433_irr</t>
  </si>
  <si>
    <t>Base case wind/wave conditions</t>
  </si>
  <si>
    <t>irr-15</t>
  </si>
  <si>
    <t>back to 5% damping; ; no EQ</t>
  </si>
  <si>
    <t>20260814_monopile_Trial23</t>
  </si>
  <si>
    <t>0814_Turb33AD_clayTurb_H0p847_T3p433_irr_3pDamping_OKEQ</t>
  </si>
  <si>
    <t>irr-16</t>
  </si>
  <si>
    <t>3% damping; OK earthquake at 180?, SF 1.0; N6 for OS; survived</t>
  </si>
  <si>
    <t>ssi flexural spring</t>
  </si>
  <si>
    <t>20260814_monopile_Trial24</t>
  </si>
  <si>
    <t>ssi p-y models</t>
  </si>
  <si>
    <t>0814_Turb33AD_clayTurb_H0p847_T3p433_irr_2pDamping_ElCentro</t>
  </si>
  <si>
    <t>ssi bridge model</t>
  </si>
  <si>
    <t>irr-17</t>
  </si>
  <si>
    <t>ssi bridge model under extreme wind+waves</t>
  </si>
  <si>
    <t>ssi bridge model/parallel processing</t>
  </si>
  <si>
    <t>2% damping at 4s; el centro EQ, SF 0.5; unstable</t>
  </si>
  <si>
    <r>
      <rPr>
        <rFont val="Calibri"/>
        <b/>
        <color rgb="FF4A86E8"/>
      </rPr>
      <t>Summary</t>
    </r>
    <r>
      <rPr>
        <rFont val="Calibri"/>
        <color theme="1"/>
      </rPr>
      <t>: Varying soil models under base wind/wave case; soil models with other wind/wave</t>
    </r>
  </si>
  <si>
    <t>changed froude scale moment to be lambda^4</t>
  </si>
  <si>
    <t>20260817_monopile_Trial03</t>
  </si>
  <si>
    <t>0817_Turb33AD_FixedTurb_H0p847_T3p433_irr_N6OS</t>
  </si>
  <si>
    <t>irr-1</t>
  </si>
  <si>
    <t>N6OS N12 AD; unstable at the second break wave</t>
  </si>
  <si>
    <t>20260817_monopile_Trial04</t>
  </si>
  <si>
    <t>0817_Turb24AD_FixedTurb_offline</t>
  </si>
  <si>
    <t>20260817_monopile_Trial05</t>
  </si>
  <si>
    <t>0817_Turb24AD_FixedTurb_H0p508_T2p91_reg_N6OS</t>
  </si>
  <si>
    <t>0817_Turb24AD_FixedTurb_offline_mov50</t>
  </si>
  <si>
    <t>08/07/2026 - Fri</t>
  </si>
  <si>
    <t>20260817_monopile_Trial06</t>
  </si>
  <si>
    <t>0817_noWind_FixedTurb_offline</t>
  </si>
  <si>
    <t>Reg/Irreg LC9-10</t>
  </si>
  <si>
    <t>RTHS Re_LC2_steady: OC3Monopile (reg waves)</t>
  </si>
  <si>
    <t>aerodyn not on, set to all constant 0's</t>
  </si>
  <si>
    <t>20260817_monopile_Trial07</t>
  </si>
  <si>
    <t>0817_noWind_FixedTurb_H0p508_T2p91_reg</t>
  </si>
  <si>
    <t>Full scale - West Coast site</t>
  </si>
  <si>
    <t>20260817_monopile_Trial08</t>
  </si>
  <si>
    <t>0817_noWind_LinSpringTurb_H0p508_T2p91_reg</t>
  </si>
  <si>
    <t>RTHS Ca_LC2_steady: OC3Monopile (reg waves)</t>
  </si>
  <si>
    <t>ran fine; afc window 1s</t>
  </si>
  <si>
    <t>RTHS Ca_LC3_turbulent: OC3Monopile (reg waves)</t>
  </si>
  <si>
    <t>20260817_monopile_Trial09</t>
  </si>
  <si>
    <t>0817_noWind_LinSpringTurb_H0p508_T2p91_AFC0p2</t>
  </si>
  <si>
    <t>Turb LC9-10</t>
  </si>
  <si>
    <t>ran fine; exp gain (1); exp delay (0), allowable delay (0), sys gain (1.0), sys delay rate (0.02), data window (0.2s), span (0.004), bandwidth (50)</t>
  </si>
  <si>
    <t>20260817_monopile_Trial11</t>
  </si>
  <si>
    <t>0817_noWind_LinSpringTurb_H0p508_T2p91_movAvgFilt</t>
  </si>
  <si>
    <t>ran fine; moving avg filter on the outgoing coefs</t>
  </si>
  <si>
    <t>20260817_monopile_Trial12</t>
  </si>
  <si>
    <t>20260817_monopile_Trial13</t>
  </si>
  <si>
    <t>0817_noWind_LinSpringTurb_H0p508_T2p91_2HzFilt</t>
  </si>
  <si>
    <t>ran fine; 2Hz filter on the outgoing coefs; realized there was a movAvg on the topLC signal this whole time</t>
  </si>
  <si>
    <t>20260817_monopile_Trial14</t>
  </si>
  <si>
    <t>0817_noWind_LinSpringTurb_H0p847_T3p433_constAFC2ndParam</t>
  </si>
  <si>
    <t>irr-8</t>
  </si>
  <si>
    <t>set a constant 1e-5 on a2 from afc</t>
  </si>
  <si>
    <t>20260817_monopile_Trial15</t>
  </si>
  <si>
    <t>tried 10Hz on coeff of AFC</t>
  </si>
  <si>
    <t>notch_DrivSig</t>
  </si>
  <si>
    <t>notch on just driv sig</t>
  </si>
  <si>
    <t>notch_comSig</t>
  </si>
  <si>
    <t>-&gt; cau similitude for steady</t>
  </si>
  <si>
    <t>20260817_monopile_Trial16</t>
  </si>
  <si>
    <t>0817_Turb24AD_FixedTurb_H0p508_T2p91_reg_Notch</t>
  </si>
  <si>
    <t>-&gt; cauchy similitude for turbulent wind condition</t>
  </si>
  <si>
    <t>notch on the driv signal</t>
  </si>
  <si>
    <t>20260817_monopile_Trial17</t>
  </si>
  <si>
    <t>0817_Turb33AD_FixedTurb_H0p847_T3p433_irr_Notch</t>
  </si>
  <si>
    <t>irr-10</t>
  </si>
  <si>
    <t>20260817_monopile_Trial18</t>
  </si>
  <si>
    <t>0817_Turb33AD_FixedTurb_H0p847_T3p433_irr_krAlpha</t>
  </si>
  <si>
    <t>irr-11</t>
  </si>
  <si>
    <t>24HZ notch, 0.4 and 0.05 on damp and gmin; went all the way thru</t>
  </si>
  <si>
    <t>20260817_monopile_Trial19</t>
  </si>
  <si>
    <t>0817_Steady8AD_FixedTurb_H0p508_T2p91_reg</t>
  </si>
  <si>
    <t>Delay studies</t>
  </si>
  <si>
    <t>less iterations on model; pitch 0</t>
  </si>
  <si>
    <t>Delay studies with turbulent/extreme cases</t>
  </si>
  <si>
    <t>20260817_monopile_Trial20</t>
  </si>
  <si>
    <t>Re similitude</t>
  </si>
  <si>
    <t>0817_Turb11p4AD_FixedTurb_H0p508_T2p91_irr</t>
  </si>
  <si>
    <t>Ca-similitude</t>
  </si>
  <si>
    <t>irr-13</t>
  </si>
  <si>
    <t>Fr-Ca similitude</t>
  </si>
  <si>
    <t>pitch0</t>
  </si>
  <si>
    <r>
      <rPr>
        <rFont val="Calibri"/>
        <b/>
        <color rgb="FF4A86E8"/>
      </rPr>
      <t>Summary</t>
    </r>
    <r>
      <rPr>
        <rFont val="Calibri"/>
        <color theme="1"/>
      </rPr>
      <t>: RTHS delay studies; varying similitude laws</t>
    </r>
  </si>
  <si>
    <t>20260817_monopile_Trial21</t>
  </si>
  <si>
    <t>0817_Turb11p4AD_FixedTurb_H0p508_T2p91_reg</t>
  </si>
  <si>
    <t>20260817_monopile_Trial22</t>
  </si>
  <si>
    <t>0817_Turb18AD_FixedTurb_H0p508_T2p91_irr</t>
  </si>
  <si>
    <t>15deg</t>
  </si>
  <si>
    <t>20260817_monopile_Trial23</t>
  </si>
  <si>
    <t>0817_Turb18AD_FixedTurb_H0p508_T2p91_reg</t>
  </si>
  <si>
    <t>20260817_monopile_Trial24</t>
  </si>
  <si>
    <t>0817_Turb24AD_FixedTurb_H0p88_T4p2_reg</t>
  </si>
  <si>
    <t>20260817_monopile_Trial25</t>
  </si>
  <si>
    <t>0817_Turb33AD_FixedTurb_H0p847_T3p433_irr_Trial02</t>
  </si>
  <si>
    <t>irr-18</t>
  </si>
  <si>
    <t>after hours</t>
  </si>
  <si>
    <t>20260817_monopile_Trial26</t>
  </si>
  <si>
    <t>0817_Turb11p4AD_FixedTurb_offlineFull</t>
  </si>
  <si>
    <t>20260817_monopile_Trial27</t>
  </si>
  <si>
    <t>0817_Turb18AD_FixedTurb_offlineFull</t>
  </si>
  <si>
    <t>20260817_monopile_Trial28</t>
  </si>
  <si>
    <t>0817_Turb33AD_FixedTurb_offlineFull</t>
  </si>
  <si>
    <t>20260817_monopile_Trial29</t>
  </si>
  <si>
    <r>
      <rPr>
        <rFont val="Calibri"/>
        <color rgb="FF000000"/>
        <sz val="11.0"/>
      </rPr>
      <t>λ</t>
    </r>
    <r>
      <rPr>
        <rFont val="Calibri"/>
        <color rgb="FF000000"/>
        <sz val="12.0"/>
      </rPr>
      <t>L</t>
    </r>
  </si>
  <si>
    <t>0817_Turb24AD_FixedTurb_offlineFull</t>
  </si>
  <si>
    <t>alpha0 for allof the above</t>
  </si>
  <si>
    <t>20260817_monopile_Trial30</t>
  </si>
  <si>
    <t>0817_Turb24AD_FixedTurb_offlineFull_alpha0p5</t>
  </si>
  <si>
    <t>20260817_monopile_Trial31</t>
  </si>
  <si>
    <t>0817_Turb24AD_FixedTurb_offlineFull_krAlpha0</t>
  </si>
  <si>
    <t>20260817_monopile_Trial32</t>
  </si>
  <si>
    <t>0817_Turb24AD_FixedTurb_offlineFull_1pDamping_alpha0</t>
  </si>
  <si>
    <t>20260818_monopile_Trial01</t>
  </si>
  <si>
    <t>0818_Turb24AD_pYTurb_H0p508_T2p91_reg</t>
  </si>
  <si>
    <t>have notch signal on mts</t>
  </si>
  <si>
    <t>N6OS, N12 AD</t>
  </si>
  <si>
    <t>20260818_monopile_Trial02</t>
  </si>
  <si>
    <t>0818_Turb24AD_pYTurb_offline_MTSNotch</t>
  </si>
  <si>
    <t>20260818_monopile_Trial03</t>
  </si>
  <si>
    <t>0818_Turb24AD_LinSpringTurb_H0p508_T2p91_reg</t>
  </si>
  <si>
    <t>restarted computer; added mts notch filter at 24Hz</t>
  </si>
  <si>
    <t>20260818_monopile_Trial04</t>
  </si>
  <si>
    <t>0818_Turb33AD_LinSpringTurb_H0p847_T3p433_irr</t>
  </si>
  <si>
    <t>irr-3</t>
  </si>
  <si>
    <t>Repeat select tests based on data post process</t>
  </si>
  <si>
    <t>20260818_monopile_Trial05</t>
  </si>
  <si>
    <t>0818_Turb33AD_pYTurb_H0p847_T3p433_irr</t>
  </si>
  <si>
    <t>irr-4</t>
  </si>
  <si>
    <t>offline extreme winds</t>
  </si>
  <si>
    <t>20260818_monopile_Trial06</t>
  </si>
  <si>
    <t>0818_Turb33AD_FixedTurb_H0p686_T3p084_irr</t>
  </si>
  <si>
    <t>irr-5</t>
  </si>
  <si>
    <r>
      <rPr>
        <rFont val="Calibri"/>
        <b/>
        <color rgb="FF4A86E8"/>
      </rPr>
      <t>Summary</t>
    </r>
    <r>
      <rPr>
        <rFont val="Calibri"/>
        <color theme="1"/>
      </rPr>
      <t>: Offline constant wind, repeat some specific tests</t>
    </r>
  </si>
  <si>
    <t>20260818_monopile_Trial07</t>
  </si>
  <si>
    <t>0818_Turb33AD_FixedTurb_H0p897_T4p976_irr</t>
  </si>
  <si>
    <t>irr-6</t>
  </si>
  <si>
    <t>20260818_monopile_Trial08</t>
  </si>
  <si>
    <t>0818_Turb24AD_clayTurb_H0p508_T2p91_reg</t>
  </si>
  <si>
    <t>kralpha0, damping 4s</t>
  </si>
  <si>
    <t>20260818_monopile_Trial09</t>
  </si>
  <si>
    <t>0818_Turb33AD_clayTurb_H0p847_T3p433_irr</t>
  </si>
  <si>
    <t>20260818_monopile_Trial10</t>
  </si>
  <si>
    <t>0818_Turb24AD_clayTurb_H0p508_T2p91_reg_ElCentro0p5</t>
  </si>
  <si>
    <t>SF 0.5 El Centro; went unstable</t>
  </si>
  <si>
    <t>20260818_monopile_Trial11</t>
  </si>
  <si>
    <t>0818_Turb24AD_180FixedTurb_H0p508_T2p91_reg</t>
  </si>
  <si>
    <t>reg-10</t>
  </si>
  <si>
    <t>forgot to be on turbo mode, running again</t>
  </si>
  <si>
    <t>20260818_monopile_Trial12</t>
  </si>
  <si>
    <t>0818_Turb24AD_180FixedTurb_H0p508_T2p91_reg_Trial02</t>
  </si>
  <si>
    <t>reg-11</t>
  </si>
  <si>
    <t>20260818_monopile_Trial13</t>
  </si>
  <si>
    <t>0818_Turb33AD_180FixedTurb_H0p847_T3p433_irr</t>
  </si>
  <si>
    <t>irr-12</t>
  </si>
  <si>
    <t>20260818_monopile_Trial14</t>
  </si>
  <si>
    <t>0818_pinkMultisine_offlineFull</t>
  </si>
  <si>
    <t>in still water</t>
  </si>
  <si>
    <t>20260818_monopile_Trial15</t>
  </si>
  <si>
    <t>0818_pinkMultisine_H0p508_T2p91_reg</t>
  </si>
  <si>
    <t>08/10/2026 - Monday</t>
  </si>
  <si>
    <t>20260818_monopile_Trial16</t>
  </si>
  <si>
    <t>0818_pinkMultisine_offlineFull_noAFC</t>
  </si>
  <si>
    <t>RTHS LC8_steady: OC3Monopile (reg waves)</t>
  </si>
  <si>
    <t>20260818_monopile_Trial20</t>
  </si>
  <si>
    <t>0818_Steady8AD_Servo_FixedTurb_H0p508_T2p91_reg</t>
  </si>
  <si>
    <t>RTHS LC9_steady: OC3Monopile (reg waves)</t>
  </si>
  <si>
    <t>did not have afc on</t>
  </si>
  <si>
    <t>RTHS LC10_steady: OC3Monopile (reg waves)</t>
  </si>
  <si>
    <t>20260818_monopile_Trial21</t>
  </si>
  <si>
    <t>RTHS LC8_turbulent: OC3Monopile (reg waves)</t>
  </si>
  <si>
    <t>RTHS LC9_turbulent: OC3Monopile (reg waves)</t>
  </si>
  <si>
    <t>RTHS LC10: OC3Monopile (reg waves)</t>
  </si>
  <si>
    <t>0818_Steady8AD_Servo_FixedTurb_H0p508_T2p91_irr</t>
  </si>
  <si>
    <t>20260818_monopile_Trial22</t>
  </si>
  <si>
    <t>0818_Steady11p4AD_Servo_FixedTurb_H0p508_T2p91_irr</t>
  </si>
  <si>
    <t xml:space="preserve">afc in </t>
  </si>
  <si>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theme="1"/>
        <sz val="11.0"/>
        <u/>
      </rPr>
      <t>standard</t>
    </r>
    <r>
      <rPr>
        <rFont val="Calibri"/>
        <color theme="1"/>
        <sz val="11.0"/>
      </rPr>
      <t xml:space="preserve"> reg waves (16,20,24m/s)</t>
    </r>
  </si>
  <si>
    <t>20260818_monopile_Trial23</t>
  </si>
  <si>
    <t>0818_Steady11p4AD_Servo_FixedTurb_H0p508_T2p91_reg</t>
  </si>
  <si>
    <t>-&gt; faster steady wind condition with regular waves</t>
  </si>
  <si>
    <t>20260818_monopile_Trial24</t>
  </si>
  <si>
    <t>0818_H0p686_T3p084_irr_hold</t>
  </si>
  <si>
    <t>-&gt; fast steady wind condition with regular waves</t>
  </si>
  <si>
    <t>-&gt; faster but still steady wind condition with regular waves</t>
  </si>
  <si>
    <t>-&gt; turbulent east coast wind</t>
  </si>
  <si>
    <t>-&gt; turbulent wind condition with reg waves</t>
  </si>
  <si>
    <t>20260818_monopile_Trial26</t>
  </si>
  <si>
    <t>0818_Turb24AD_90FixedTurb_H0p508_T2p91_reg</t>
  </si>
  <si>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theme="1"/>
        <sz val="11.0"/>
        <u/>
      </rPr>
      <t>standard</t>
    </r>
    <r>
      <rPr>
        <rFont val="Calibri"/>
        <color theme="1"/>
        <sz val="11.0"/>
      </rPr>
      <t xml:space="preserve"> reg wave</t>
    </r>
  </si>
  <si>
    <t>20260818_bridge_Trial01</t>
  </si>
  <si>
    <t>controllerRun1</t>
  </si>
  <si>
    <t>using akiri afc params</t>
  </si>
  <si>
    <t>20260818_bridge_Trial02</t>
  </si>
  <si>
    <t>controllerRun2</t>
  </si>
  <si>
    <t>allowable sample 10</t>
  </si>
  <si>
    <t>20260818_bridge_Trial03</t>
  </si>
  <si>
    <t>controllerRun3</t>
  </si>
  <si>
    <t>PID 4.5 0.5 0.02; afc window 0.5</t>
  </si>
  <si>
    <t>20260819_monopile_Trial03</t>
  </si>
  <si>
    <t>0819_Turb24AD_FixedTurb_EQ_dry</t>
  </si>
  <si>
    <t>dry run; EQ at 180</t>
  </si>
  <si>
    <t>20260819_monopile_Trial04</t>
  </si>
  <si>
    <t>0819_Turb24AD_FixedTurb_H0p508_T2p91_reg_EQ</t>
  </si>
  <si>
    <t>PID 4.5 0.5 0.01; Notch filter 24Hz, 19.2Hz bandwidth, -26dB</t>
  </si>
  <si>
    <t>20260819_monopile_Trial05</t>
  </si>
  <si>
    <t>0819_Turb24AD_LinSpringTurb_H0p508_T2p91_reg_EQ</t>
  </si>
  <si>
    <t>*more extreme/turbulent winds</t>
  </si>
  <si>
    <t>did not survive EQ; a bunch of slowdown states, restarted comp</t>
  </si>
  <si>
    <t>20260819_monopile_Trial06</t>
  </si>
  <si>
    <t>0819_Turb33AD_FixedTurb_H0p847_T3p433_irr_EQ</t>
  </si>
  <si>
    <t>20260819_monopile_Trial07</t>
  </si>
  <si>
    <t>0819_Turb33AD_FixedTurb_H0p847_T3p433_irr_EQ_Trial02</t>
  </si>
  <si>
    <t>20260819_monopile_Trial08</t>
  </si>
  <si>
    <t>0819_Turb33AD_LinSpringTurb_H0p847_T3p433_irr_EQ</t>
  </si>
  <si>
    <t>a lot of slowdowns</t>
  </si>
  <si>
    <t>during lunch</t>
  </si>
  <si>
    <t>20260819_monopile_Trial09</t>
  </si>
  <si>
    <t>0819_Turb24AD_LinSpringTurb_EQ_dry</t>
  </si>
  <si>
    <t>20260819_monopile_Trial10</t>
  </si>
  <si>
    <t>tuning 20Hz filter on MTS</t>
  </si>
  <si>
    <t>PID 4.5 0.5 0.01; low pass at 20Hz</t>
  </si>
  <si>
    <t>0819_tuning10Hz_Turb24AD_FixedTurb_dry</t>
  </si>
  <si>
    <t>20260819_monopile_Trial11</t>
  </si>
  <si>
    <t>0819_Turb24AD_clayTurb_offline_ElCentro0p5</t>
  </si>
  <si>
    <t>20260819_monopile_Trial12</t>
  </si>
  <si>
    <t>0819_Turb33AD_clayTurb_H0p847_T3p433_ElCentro0p5</t>
  </si>
  <si>
    <t>PID 4.5 0.5 0.01; low pass at 10Hz; AFC 1,0.046,0,0.2,0.02,0.2,0.004,50</t>
  </si>
  <si>
    <t>20260819_monopile_Trial13</t>
  </si>
  <si>
    <t>0819_Turb33AD_clayTurb_H0p847_T3p433_ElCentro1p0</t>
  </si>
  <si>
    <t>irr-7</t>
  </si>
  <si>
    <t>went unstable</t>
  </si>
  <si>
    <t>soFAR buoy?</t>
  </si>
  <si>
    <t>20260819_monopile_Trial15</t>
  </si>
  <si>
    <t>0819_Turb33AD_clayTurb_H0p847_T3p433_ElCentro1p0_Trial02</t>
  </si>
  <si>
    <r>
      <rPr>
        <rFont val="Calibri"/>
        <b/>
        <color rgb="FF4A86E8"/>
      </rPr>
      <t>Summary</t>
    </r>
    <r>
      <rPr>
        <rFont val="Calibri"/>
        <color theme="1"/>
      </rPr>
      <t>: Repeatability, soFAR buoy?, cleanup</t>
    </r>
  </si>
  <si>
    <t>20260819_monopile_Trial17</t>
  </si>
  <si>
    <t>0819_Turb33AD_FixedTurb_H0p847_T3p433_irr_10HzFiltMTS</t>
  </si>
  <si>
    <t>20260819_monopile_Trial18</t>
  </si>
  <si>
    <t>0819_Turb33AD_FixedTurb_offline_NotchMTS</t>
  </si>
  <si>
    <t>0819_Turb33AD_90FixedTurb_offline</t>
  </si>
  <si>
    <t>debugging lvdt spike issue</t>
  </si>
  <si>
    <t>20260819_bridge_Trial01</t>
  </si>
  <si>
    <t>0819_GusBridge_Parallel4_H0p5_T7p746_reg</t>
  </si>
  <si>
    <t>started ground motion at 70s, full scale</t>
  </si>
  <si>
    <t>20260819_bridge_Trial02</t>
  </si>
  <si>
    <t>0819_GusBridge_Parallel8_H0p156_T2p165_reg</t>
  </si>
  <si>
    <t>started ground motion at 150s, full scale</t>
  </si>
  <si>
    <t>20260819_bridge_Trial03</t>
  </si>
  <si>
    <t>0819_GusBridge_Serial_H0p156_T2p165_reg</t>
  </si>
  <si>
    <t>did not complete data</t>
  </si>
  <si>
    <t>ground motion 150s at full scale</t>
  </si>
  <si>
    <t>20260819_bridge_Trial04</t>
  </si>
  <si>
    <t>0819_GusBridge_Serial_H0p156_T2p165_reg_Trial02</t>
  </si>
  <si>
    <t>started holding, actuator shaking</t>
  </si>
  <si>
    <t>20260819_bridge_Trial05</t>
  </si>
  <si>
    <t>0819_GusBridge_Parallel16_H0p156_T2p165_reg_Trial02</t>
  </si>
  <si>
    <t>20260819_bridge_Trial06</t>
  </si>
  <si>
    <t>0819_GusBridge_Parallel4_H0p156_T2p165_reg_Trial02</t>
  </si>
  <si>
    <t>20260819_bridge_Trial07</t>
  </si>
  <si>
    <t>0819_GusBridge_Parallel24_H0p156_T2p165_reg</t>
  </si>
  <si>
    <t>(same as 16)</t>
  </si>
  <si>
    <t>20260819_monopile_Trial19</t>
  </si>
  <si>
    <t>0819_Turb24AD_FixedTurb_H0p508_T2p91_reg_MTS10Hz_Trial02</t>
  </si>
  <si>
    <t>08/11/2026 - Tues</t>
  </si>
  <si>
    <t>RTHS LC2_steady_soilFixed: OC3Monopile (reg waves)</t>
  </si>
  <si>
    <t>RTHS LC2_steady_soilLinear: OC3Monopile (reg waves)</t>
  </si>
  <si>
    <t>RTHS LC2_steady_soilBilinear: OC3Monopile (reg waves)</t>
  </si>
  <si>
    <t>RTHS LC2_steady_soilPY: OC3Monopile (reg waves)</t>
  </si>
  <si>
    <t>RTHS LC2_steady_soilBridge: OC3Monopile (reg waves)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</si>
  <si>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t>
    </r>
  </si>
  <si>
    <t>-&gt; fixed soil model, steady wind condition with regular waves</t>
  </si>
  <si>
    <t>-&gt; repeatability</t>
  </si>
  <si>
    <t>expected delay: 0.042; allowable 0</t>
  </si>
  <si>
    <t>AT WATER DEPTH 2.0m</t>
  </si>
  <si>
    <t>20260820_sdof_Trial01</t>
  </si>
  <si>
    <t>0820_StructuralP4p0_H1p0_solitary</t>
  </si>
  <si>
    <t>only PID; 4.5 0.5 0.01; no filters; AFC params same as gustavo test</t>
  </si>
  <si>
    <t>varying periods; bottom load cell value tripped; wave was generated weird cus setting was regular wave</t>
  </si>
  <si>
    <t>20260820_sdof_Trial02</t>
  </si>
  <si>
    <t>0820_StructuralP0p5_H1p0_solitary</t>
  </si>
  <si>
    <t>AFC 1, 0.034, 10, 1, 0.02,0.5,0.004,50,controlPeriod</t>
  </si>
  <si>
    <t>wave was generated weird cus setting was regular wave</t>
  </si>
  <si>
    <t>20260820_sdof_Trial03</t>
  </si>
  <si>
    <t>0820_StructuralP0p5_H1p0_solitary_Trial02</t>
  </si>
  <si>
    <t>only PID; 4.5 0.5 0.02; AFC 1, 0.034, 10, 1, 0.02,window 0.2,0.004,50,controlPeriod</t>
  </si>
  <si>
    <t>added Fgain and decreased AFC window length</t>
  </si>
  <si>
    <t>20260820_sdof_Trial04</t>
  </si>
  <si>
    <t>0820_StructuralP1p0_H1p0_solitary</t>
  </si>
  <si>
    <t>cant get the first peak</t>
  </si>
  <si>
    <t>20260820_sdof_Trial05</t>
  </si>
  <si>
    <t>0820_StructuralP1p0_H1p0_solitary_Trial02</t>
  </si>
  <si>
    <t>only PID; 5 0.5 0.02 0.01 (F2 gain); delay is 0.026s; afc params didnt change</t>
  </si>
  <si>
    <t>20260820_sdof_Trial06</t>
  </si>
  <si>
    <t>0820_StructuralP1p0_H1p0_solitary_Trial03</t>
  </si>
  <si>
    <t>AFC 1, 0.026, 10, 2, 0.02,0.2,0.004,50,controlPeriod; PID 5 0.5 0.02;</t>
  </si>
  <si>
    <t>20260820_sdof_Trial07</t>
  </si>
  <si>
    <t>0820_StructuralP1p0_H1p0_solitary_Trial04</t>
  </si>
  <si>
    <t>AFC 1, 0.026, 1, 5, 0.02,0.2,0.006,50,controlPeriod; PID 5 0.5 0.02;</t>
  </si>
  <si>
    <t>0820_StructuralP2p0_H1p0_solitary</t>
  </si>
  <si>
    <t>20260820_sdof_Trial09</t>
  </si>
  <si>
    <t>0820_StructuralP1p0_H1p0_solitary_SF1</t>
  </si>
  <si>
    <t>AFC 1, 0.026, 1, 5, 0.02,0.2,0.005,50,controlPeriod; PID 5 0.5 0.02;</t>
  </si>
  <si>
    <t>scale factor set to 1</t>
  </si>
  <si>
    <t>20260820_sdof_Trial10</t>
  </si>
  <si>
    <t>0820_StructuralP1p0_H1p0_solitary_SF6</t>
  </si>
  <si>
    <t>20260820_sdof_Trial11</t>
  </si>
  <si>
    <t>0820_StructuralP1p0_H1p0_solitary_SF9</t>
  </si>
  <si>
    <t>unstable before wave hit</t>
  </si>
  <si>
    <t>20260820_sdof_Trial12</t>
  </si>
  <si>
    <t>0820_StructuralP1p0_H1p0_solitary_SF9_Trial02</t>
  </si>
  <si>
    <t>AFC 1, 0.026, 10, 2, 0.02,0.2,0.005,50,controlPeriod; PID 5 0.5 0.02; AFC starting at 10s; added a switch for sending 0's unless drivsig exceeds 0.002</t>
  </si>
  <si>
    <t>20260820_sdof_Trial13</t>
  </si>
  <si>
    <t>0820_StructuralP1p0_H1p0_solitary_SF9_Trial03</t>
  </si>
  <si>
    <t>still unstable</t>
  </si>
  <si>
    <t>20260820_sdof_Trial14</t>
  </si>
  <si>
    <t>0820_StructuralP1p0_H1p0_solitary_SF9_Trial04</t>
  </si>
  <si>
    <t>20260820_sdof_Trial15</t>
  </si>
  <si>
    <t>0820_StructuralP1p0_H1p0_solitary_SF9_MTS10Hz</t>
  </si>
  <si>
    <t>AFC 1, 0.026, 0, 3, 0.02,0.2,0.005,50,controlPeriod; PID 5 0.5 0.02; AFC starting at 10s; 10Hz on MTS</t>
  </si>
  <si>
    <t>20260820_sdof_Trial16</t>
  </si>
  <si>
    <t>0820_StructuralP1p0_H1p0_solitary_SF6_30HzForceFbk</t>
  </si>
  <si>
    <t>did not go unstable; force feedback to numerical model</t>
  </si>
  <si>
    <t>20260820_monopile_Trial01</t>
  </si>
  <si>
    <t>0820_noWind_FixedTurb_H1p0_solitary</t>
  </si>
  <si>
    <t>PID 4.5 0.5 0.01; Notch;</t>
  </si>
  <si>
    <t>unstable bc AFC params</t>
  </si>
  <si>
    <t>20260820_monopile_Trial02</t>
  </si>
  <si>
    <t>0820_noWind_FixedTurb_H1p0_solitary_Trial02</t>
  </si>
  <si>
    <t>PID 4.5 0.5 0.01; Notch; AFC gain(1), exp delay (0.034), allow (10), gain(1), delay rate (0.02), window(0.2), span(0.004), 50</t>
  </si>
  <si>
    <t>20260820_monopile_Trial03</t>
  </si>
  <si>
    <t>0820_noWind_FixedTurb_H1p0_solitary_Trial03</t>
  </si>
  <si>
    <t>08/12/2026 - Wed</t>
  </si>
  <si>
    <t>PID 4.5 0.5 0.01; Notch; AFC gain(1), exp delay (0), allow (0), gain(1), delay rate (0.02), window(0.2), span(0.004), 50</t>
  </si>
  <si>
    <t>ran fine; but weird oscillations</t>
  </si>
  <si>
    <t>20260820_monopile_Trial04</t>
  </si>
  <si>
    <t>RTHS LC2_turbulent_soilFixed: OC3Monopile (reg waves)</t>
  </si>
  <si>
    <t>0820_noWind_FixedTurb_H1p0_solitary_MTS10Hz</t>
  </si>
  <si>
    <t>PID 4.5 0.5 0.01; 10Hz Low pass; AFC gain(1), exp delay (0), allow (0), gain(1), delay rate (0.02), window(0.2), span(0.004), 50</t>
  </si>
  <si>
    <t>20260820_monopile_Trial05</t>
  </si>
  <si>
    <t>0820_noWind_FixedTurb_H1p2_solitary</t>
  </si>
  <si>
    <t>RTHS LC2_turbulent_soilLinear: OC3Monopile (reg waves)</t>
  </si>
  <si>
    <t>20260820_monopile_Trial06</t>
  </si>
  <si>
    <t>0820_noWind_FixedTurb_H1p2_solitary_Trial02</t>
  </si>
  <si>
    <t>RTHS LC2_turbulent_soilBilinear: OC3Monopile (reg waves)</t>
  </si>
  <si>
    <t>repeatability</t>
  </si>
  <si>
    <t>20260820_monopile_Trial08</t>
  </si>
  <si>
    <t>0820_noWind_FixedTurb_H0p8_solitary</t>
  </si>
  <si>
    <t>RTHS LC2_turbulent_soilPY: OC3Monopile (reg waves)</t>
  </si>
  <si>
    <t>20260820_monopile_Trial09</t>
  </si>
  <si>
    <t>RTHS LC2_turbulent_soilBridge: OC3Monopile (reg waves)</t>
  </si>
  <si>
    <t>0820_noWind_FixedTurb_H1p0_solitary_Trial04</t>
  </si>
  <si>
    <t>20260820_sdof_Trial17</t>
  </si>
  <si>
    <t>0820_StructuralP1p0_H1p0_solitary_SF6_baseline</t>
  </si>
  <si>
    <t>PID 4.5 0.5 0.01; 10Hz Low pass; AFC gain(1), exp delay (0), allow (0), gain(3), delay rate (0.02), window(0.2), span(0.004), 50</t>
  </si>
  <si>
    <t>20260820_sdof_Trial18</t>
  </si>
  <si>
    <t>0820_StructuralP1p0_H1p0_solitary_SF3_baseline</t>
  </si>
  <si>
    <r>
      <rPr>
        <rFont val="Calibri"/>
        <color theme="1"/>
        <sz val="11.0"/>
      </rPr>
      <t xml:space="preserve">RTHS: </t>
    </r>
    <r>
      <rPr>
        <rFont val="Calibri"/>
        <b/>
        <color theme="1"/>
        <sz val="11.0"/>
      </rPr>
      <t xml:space="preserve">turbulent </t>
    </r>
    <r>
      <rPr>
        <rFont val="Calibri"/>
        <color theme="1"/>
        <sz val="11.0"/>
      </rPr>
      <t xml:space="preserve">wind OC3Mnpl case LC3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t>
    </r>
  </si>
  <si>
    <t>-&gt; fixed soil model, turbulentwind condition with regular waves</t>
  </si>
  <si>
    <t>BELOW ARE YUNS CASES</t>
  </si>
  <si>
    <t>for all sdof trials: waves come at 70s</t>
  </si>
  <si>
    <t>20260820_sdof_Trial19</t>
  </si>
  <si>
    <t>0820_StructuralP1p0_H1p0_solitary_SF6_PID</t>
  </si>
  <si>
    <r>
      <rPr>
        <rFont val="Calibri"/>
        <color theme="1"/>
      </rPr>
      <t xml:space="preserve">PID 5 0.5 0.02; </t>
    </r>
    <r>
      <rPr>
        <rFont val="Calibri"/>
        <b/>
        <color rgb="FFFF0000"/>
      </rPr>
      <t>10Hz Low pass</t>
    </r>
    <r>
      <rPr>
        <rFont val="Calibri"/>
        <color theme="1"/>
      </rPr>
      <t>; AFC gain(1), exp delay (0), allow (0), gain(3), delay rate (0.02), window(0.2), span(0.004), 50</t>
    </r>
  </si>
  <si>
    <t>baseline MTS 10Hz</t>
  </si>
  <si>
    <t>20260820_sdof_Trial20</t>
  </si>
  <si>
    <t>0820_StructuralP1p0_H1p0_solitary_SF6_MTS5Hz</t>
  </si>
  <si>
    <t>5Hz Low pass; same as above</t>
  </si>
  <si>
    <t>20260820_sdof_Trial21</t>
  </si>
  <si>
    <t>0820_StructuralP1p0_H1p0_solitary_SF6_MTS30Hz</t>
  </si>
  <si>
    <t>the sign of the measured displacement is flipped. very weird. command is right though; maybe didnt work cus too close transfer system</t>
  </si>
  <si>
    <t>20260820_sdof_Trial22</t>
  </si>
  <si>
    <t>0820_StructuralP1p0_H1p0_solitary_SF6_MTS20Hz</t>
  </si>
  <si>
    <t>worked fine</t>
  </si>
  <si>
    <t>20260820_sdof_Trial23</t>
  </si>
  <si>
    <t>0820_StructuralP1p0_H1p0_solitary_SF6_MTS40Hz</t>
  </si>
  <si>
    <t>20260820_sdof_Trial24</t>
  </si>
  <si>
    <t>0820_StructuralP1p0_H1p0_solitary_SF6_MTS40Hz_noAFC</t>
  </si>
  <si>
    <t>basically just PID</t>
  </si>
  <si>
    <t>20260820_sdof_Trial25</t>
  </si>
  <si>
    <t>0820_StructuralP1p0_H1p0_solitary_SF6_MTS10Hz_noAFC</t>
  </si>
  <si>
    <t>went unstable; so not running 5Hz lol</t>
  </si>
  <si>
    <t>20260820_sdof_Trial26</t>
  </si>
  <si>
    <t>0820_StructuralP1p0_H1p0_solitary_SF6_MTS20Hz_noAFC</t>
  </si>
  <si>
    <t>worked fine; damps out a lot quicker</t>
  </si>
  <si>
    <t>20260820_sdof_Trial27</t>
  </si>
  <si>
    <t>0820_StructuralP1p0_H1p0_solitary_SF6_MTS30Hz_noAFC</t>
  </si>
  <si>
    <t>fine</t>
  </si>
  <si>
    <t>20260820_sdof_Trial28</t>
  </si>
  <si>
    <t>0820_StructuralP1p0_H1p0_solitary_SF6_MTS30Hz_Trial02</t>
  </si>
  <si>
    <t>fine; nothing weird</t>
  </si>
  <si>
    <t>20260820_sdof_Trial30</t>
  </si>
  <si>
    <t>0820_StructuralP1p0_H1p0_solitary_SF6_30HzAFCFilt</t>
  </si>
  <si>
    <t>NO MTS FILTER NOW</t>
  </si>
  <si>
    <t>no filters in fbks at all, just changing AFC filter; went fine</t>
  </si>
  <si>
    <t>20260820_sdof_Trial31</t>
  </si>
  <si>
    <t>0820_StructuralP1p0_H1p0_solitary_SF6_20HzAFCFilt</t>
  </si>
  <si>
    <t>fine; numerical model likely unstable</t>
  </si>
  <si>
    <t>20260820_sdof_Trial32</t>
  </si>
  <si>
    <t>0820_StructuralP1p0_H1p0_solitary_SF6_10HzAFCFilt</t>
  </si>
  <si>
    <r>
      <rPr>
        <rFont val="Calibri"/>
        <b/>
        <color rgb="FFFF0000"/>
      </rPr>
      <t>sounded unstable</t>
    </r>
    <r>
      <rPr>
        <rFont val="Calibri"/>
        <color theme="1"/>
      </rPr>
      <t xml:space="preserve"> but did not trip interlocks; data looks clean which is weird</t>
    </r>
  </si>
  <si>
    <t>20260820_sdof_Trial33</t>
  </si>
  <si>
    <t>0820_StructuralP1p0_H1p0_solitary_SF6_5HzAFCFilt</t>
  </si>
  <si>
    <t>unstable</t>
  </si>
  <si>
    <t>20260820_sdof_Trial34</t>
  </si>
  <si>
    <t>0820_StructuralP1p0_H1p0_solitary_SF6_30HzMotionFbk</t>
  </si>
  <si>
    <t>CHANGED BACK TO 50Hz AFC; likely controller  unstable</t>
  </si>
  <si>
    <r>
      <rPr>
        <rFont val="Calibri"/>
        <color theme="1"/>
      </rPr>
      <t xml:space="preserve">second order butterworth; motion feedback to actuator; </t>
    </r>
    <r>
      <rPr>
        <rFont val="Calibri"/>
        <b/>
        <color rgb="FFFF0000"/>
      </rPr>
      <t>sounded unstable</t>
    </r>
    <r>
      <rPr>
        <rFont val="Calibri"/>
        <color theme="1"/>
      </rPr>
      <t xml:space="preserve"> but did not trip interlocks; data looks clean which is weird; maybe i stopped it too early</t>
    </r>
  </si>
  <si>
    <t>20260820_sdof_Trial35</t>
  </si>
  <si>
    <t>0820_StructuralP1p0_H1p0_solitary_SF6_20HzMotionFbk</t>
  </si>
  <si>
    <t>20260820_sdof_Trial36</t>
  </si>
  <si>
    <t>0820_StructuralP1p0_H1p0_solitary_SF6_10HzMotionFbk</t>
  </si>
  <si>
    <t>unstable immediately</t>
  </si>
  <si>
    <t>20260820_sdof_Trial37</t>
  </si>
  <si>
    <t>0820_StructuralP1p0_H1p0_solitary_SF6_30HzMotionFbk_Trial02</t>
  </si>
  <si>
    <t>still went a bit unstable, but survived</t>
  </si>
  <si>
    <t>20260820_sdof_Trial38</t>
  </si>
  <si>
    <t>0820_StructuralP1p0_H1p0_solitary_SF6_30HzBoth</t>
  </si>
  <si>
    <t>sounds a bit noisy and unstable, but survived</t>
  </si>
  <si>
    <t>20260820_sdof_Trial39</t>
  </si>
  <si>
    <t>0820_StructuralP1p0_H1p0_solitary_SF6_20HzBoth</t>
  </si>
  <si>
    <t>better than prev run</t>
  </si>
  <si>
    <t>20260820_sdof_Trial40</t>
  </si>
  <si>
    <t>0820_StructuralP1p0_H1p0_solitary_SF6_10HzBoth</t>
  </si>
  <si>
    <t>fine; not unstable; command is delayed comapred to measured</t>
  </si>
  <si>
    <t>20260820_sdof_Trial41</t>
  </si>
  <si>
    <t>0820_StructuralP1p0_H1p0_solitary_SF6_10HzForceFbk</t>
  </si>
  <si>
    <t xml:space="preserve">fine; not unstable; </t>
  </si>
  <si>
    <t>20260820_sdof_Trial42</t>
  </si>
  <si>
    <t>0820_StructuralP1p0_H1p0_solitary_SF6_20HzForceFbk</t>
  </si>
  <si>
    <t>20260820_sdof_Trial43</t>
  </si>
  <si>
    <t>0820_pinkMultisine_offlineFull_shallowWater</t>
  </si>
  <si>
    <t>had the wrong period tho</t>
  </si>
  <si>
    <t>20260820_sdof_Trial45</t>
  </si>
  <si>
    <t>0820_pinkMultisine_offlineFull_shallowWater_Trial02</t>
  </si>
  <si>
    <t>at water depth of 2m; previous one was at depth 2.74</t>
  </si>
  <si>
    <t>same afc params as above</t>
  </si>
  <si>
    <t>0820_testRun1_offline</t>
  </si>
  <si>
    <t>row0</t>
  </si>
  <si>
    <t>no slowdowns</t>
  </si>
  <si>
    <t>0820_testRun2_offline</t>
  </si>
  <si>
    <t>row1</t>
  </si>
  <si>
    <t>5 slowdowns</t>
  </si>
  <si>
    <t>0820_testRun3_offline</t>
  </si>
  <si>
    <t>row4-serial</t>
  </si>
  <si>
    <t>all slowdowns</t>
  </si>
  <si>
    <t>0820_testRun4_offline</t>
  </si>
  <si>
    <t>row7-parallel</t>
  </si>
  <si>
    <t>0820_testRun5_offline</t>
  </si>
  <si>
    <t>row7-changed to Mumps</t>
  </si>
  <si>
    <t>0820_testRun6_offline</t>
  </si>
  <si>
    <t>0820_testRun7_offline</t>
  </si>
  <si>
    <t>same thing</t>
  </si>
  <si>
    <t>oops didnt have turbo mode on</t>
  </si>
  <si>
    <t>7/20/2026 - Monday</t>
  </si>
  <si>
    <t>0820_testRun8_offline</t>
  </si>
  <si>
    <t>08/13/2026 - Thurs</t>
  </si>
  <si>
    <t>disabled gpu</t>
  </si>
  <si>
    <t>setup machines, test communications between PC and controller</t>
  </si>
  <si>
    <t>0820_testRun9_offline</t>
  </si>
  <si>
    <t>row2</t>
  </si>
  <si>
    <t xml:space="preserve">tried a cuda one but half slowdowns </t>
  </si>
  <si>
    <t>0820_testRun10_offline</t>
  </si>
  <si>
    <t>no slow</t>
  </si>
  <si>
    <t>20260820_bridge_Trial01</t>
  </si>
  <si>
    <t>0820_testBaseline_Run01.mat</t>
  </si>
  <si>
    <t>slowdowns</t>
  </si>
  <si>
    <t>20260820_bridge_Trial02</t>
  </si>
  <si>
    <t>0820_testBaseline_Run02.mat</t>
  </si>
  <si>
    <t>stopped early</t>
  </si>
  <si>
    <t>20260820_bridge_Trial03</t>
  </si>
  <si>
    <t>0820_testBaseline_Run03.mat</t>
  </si>
  <si>
    <t>cpu integrator and profile spd; row 0</t>
  </si>
  <si>
    <t>purple means wave successfully hit</t>
  </si>
  <si>
    <t>20260821_bridge_Trial01</t>
  </si>
  <si>
    <t>0821_testBaseline_Run02.mat</t>
  </si>
  <si>
    <t>PID 5 0.5 0.02; AFC 1, 0.034, 10, 1, 0.02, 0.5, 0.004;</t>
  </si>
  <si>
    <t>dry run for baseline</t>
  </si>
  <si>
    <t>20260821_bridge_Trial03</t>
  </si>
  <si>
    <t>0821_GusBridge_rowPos1.mat</t>
  </si>
  <si>
    <t>1.0 m</t>
  </si>
  <si>
    <t>8 core; cpu integrator, row1 of test matrix; 1 slowdown; wave hits around 230s</t>
  </si>
  <si>
    <t>r+01_20260821_0930_Storm_Wave</t>
  </si>
  <si>
    <r>
      <rPr>
        <rFont val="Calibri"/>
        <b/>
        <color rgb="FFCC0000"/>
        <sz val="11.0"/>
      </rPr>
      <t>Setup machine</t>
    </r>
    <r>
      <rPr>
        <rFont val="Calibri"/>
        <color theme="1"/>
        <sz val="11.0"/>
      </rPr>
      <t>s, test signals,</t>
    </r>
  </si>
  <si>
    <t>20260821_bridge_Trial04</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</si>
  <si>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</si>
  <si>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0821_GusBridge_rowPos1_16Core.mat</t>
  </si>
  <si>
    <t>16 core; but same as above run; 5 slowdowns</t>
  </si>
  <si>
    <t>test communications for signal wiring (wave gauges, load cell)</t>
  </si>
  <si>
    <t>r+01_20260821_0949_Storm_Wave</t>
  </si>
  <si>
    <t>20260821_bridge_Trial05</t>
  </si>
  <si>
    <t>0821_GusBridge_rowNeg4.mat</t>
  </si>
  <si>
    <t>GPU run w 8 core; 0 slowdowns at all</t>
  </si>
  <si>
    <t>r-04_20260821_1010_Storm_Wave</t>
  </si>
  <si>
    <t>20260821_bridge_Trial06</t>
  </si>
  <si>
    <t>0821_GusBridge_rowNeg8.mat</t>
  </si>
  <si>
    <t>8 core; GPU run w biggest models; negative row 8; 3 slowdowns</t>
  </si>
  <si>
    <t>r-08_20260821_1034_Storm_Wave</t>
  </si>
  <si>
    <t>20260821_bridge_Trial07</t>
  </si>
  <si>
    <t>0821_GusBridge_rowNeg80.mat</t>
  </si>
  <si>
    <t>8 cores; see if just adding gpu helps; all slowdowns; unstable because too slow, cannot run; stopped at 80s; did not run waves with this</t>
  </si>
  <si>
    <t>r-80_20260821_1054_Storm_Wave</t>
  </si>
  <si>
    <t>20260821_bridge_Trial08</t>
  </si>
  <si>
    <t>0821_GusBridge_rowNeg81.mat</t>
  </si>
  <si>
    <t>same as above, slightly less slowdowns; stopped at 80s; did not run waves with this</t>
  </si>
  <si>
    <t>r-81_20260821_1058_Storm_Wave</t>
  </si>
  <si>
    <t>20260821_bridge_Trial09</t>
  </si>
  <si>
    <t>0821_GusBridge_rowNeg9.mat</t>
  </si>
  <si>
    <r>
      <rPr>
        <rFont val="Calibri"/>
        <color theme="1"/>
      </rPr>
      <t xml:space="preserve">8core; bigger model; at least </t>
    </r>
    <r>
      <rPr>
        <rFont val="Calibri"/>
        <color rgb="FFFF0000"/>
      </rPr>
      <t xml:space="preserve">4 Holds </t>
    </r>
    <r>
      <rPr>
        <rFont val="Calibri"/>
        <color theme="1"/>
      </rPr>
      <t xml:space="preserve">(actuator stopped and waiting for numerical model); soft real time; </t>
    </r>
    <r>
      <rPr>
        <rFont val="Calibri"/>
        <color rgb="FFFF0000"/>
      </rPr>
      <t>8 slowdowns</t>
    </r>
  </si>
  <si>
    <t>r-09_20260821_1102_Storm_Wave</t>
  </si>
  <si>
    <t>20260821_bridge_Trial10</t>
  </si>
  <si>
    <t>0821_GusBridge_rowNeg9_16Core.mat</t>
  </si>
  <si>
    <t>used in other literature</t>
  </si>
  <si>
    <r>
      <rPr>
        <rFont val="Calibri"/>
        <color theme="1"/>
      </rPr>
      <t xml:space="preserve">same as above but 16cores, ignore first 20s cus mouse was moving; no holds; </t>
    </r>
    <r>
      <rPr>
        <rFont val="Calibri"/>
        <color rgb="FFFF0000"/>
      </rPr>
      <t>4 slowdowns after the mouse</t>
    </r>
  </si>
  <si>
    <t>r-09_20260821_1108_Storm_Wave</t>
  </si>
  <si>
    <t>20260821_bridge_Trial11</t>
  </si>
  <si>
    <t>-&gt; added NGA east ground motion</t>
  </si>
  <si>
    <t>0821_GusBridge_rowNeg9_24Core.mat</t>
  </si>
  <si>
    <r>
      <rPr>
        <rFont val="Calibri"/>
        <color theme="1"/>
      </rPr>
      <t xml:space="preserve">same as above but 24cores; one </t>
    </r>
    <r>
      <rPr>
        <rFont val="Calibri"/>
        <color rgb="FFFF0000"/>
      </rPr>
      <t>Hold</t>
    </r>
    <r>
      <rPr>
        <rFont val="Calibri"/>
        <color theme="1"/>
      </rPr>
      <t xml:space="preserve"> ; about the same spot everytime; </t>
    </r>
    <r>
      <rPr>
        <rFont val="Calibri"/>
        <color rgb="FFFF0000"/>
      </rPr>
      <t>5 slowdowns</t>
    </r>
  </si>
  <si>
    <t>r-09_20260821_1132_Storm_Wave</t>
  </si>
  <si>
    <t>no actuator runs</t>
  </si>
  <si>
    <t>0821_GusBridge_rowNeg9_20Core.mat</t>
  </si>
  <si>
    <t>dry run</t>
  </si>
  <si>
    <t>one single slowdown</t>
  </si>
  <si>
    <t>0821_GusBridge_rowNeg9_18Core.mat</t>
  </si>
  <si>
    <t>three slowdowns</t>
  </si>
  <si>
    <t>0821_GusBridge_rowNeg9_22Core.mat</t>
  </si>
  <si>
    <t>two slowdowns; one at 114, 183s</t>
  </si>
  <si>
    <t>0821_GusBridge_rowNeg9_19Core.mat</t>
  </si>
  <si>
    <t>two slowdowns; 92s,143s</t>
  </si>
  <si>
    <t>0821_GusBridge_rowNeg10_20Core.mat</t>
  </si>
  <si>
    <t>10 slowdown</t>
  </si>
  <si>
    <t>0821_GusBridge_rowNeg10_24Core.mat</t>
  </si>
  <si>
    <t>6 slowdown</t>
  </si>
  <si>
    <t>0821_GusBridge_rowNeg10_28Core.mat</t>
  </si>
  <si>
    <t>a shit ton; half the signals are slowdonws</t>
  </si>
  <si>
    <t>0821_GusBridge_rowNeg10_22Core.mat</t>
  </si>
  <si>
    <t>9 slowdowns</t>
  </si>
  <si>
    <t>0821_GusBridge_rowNeg10_26Core.mat</t>
  </si>
  <si>
    <t>17 slowdowns</t>
  </si>
  <si>
    <t>0821_GusBridge_rowNeg8_16Core.mat</t>
  </si>
  <si>
    <t>0 slwodowns</t>
  </si>
  <si>
    <t>20260821_bridge_Trial12</t>
  </si>
  <si>
    <t>5slowdown; 1303</t>
  </si>
  <si>
    <t>20260821_bridge_Trial13</t>
  </si>
  <si>
    <t>17 slowdowns; 1312</t>
  </si>
  <si>
    <t>20260821_bridge_Trial14</t>
  </si>
  <si>
    <t>0821_GusBridge_rowNeg91_16Core.mat</t>
  </si>
  <si>
    <t>16core; 38 slowdowns; 1342; wifi accidentally on; 1 hold</t>
  </si>
  <si>
    <t>20260821_bridge_Trial15</t>
  </si>
  <si>
    <t>0821_GusBridge_rowNeg91_20Core.mat</t>
  </si>
  <si>
    <t>20core; wifi off; 1358; 5 hold; half the signals are slowdonw</t>
  </si>
  <si>
    <t>For Yun, only if you have spare time</t>
  </si>
  <si>
    <t xml:space="preserve">The reason why want these test is that I originally thought that we need both filter to syc the signals, but it will eventually goes unstable when both filters are placed becuase the control loop cant handle too much delay. Would like to have a case of both filter goes unstable and I can see if this statement is true. </t>
  </si>
  <si>
    <t>20260821_sdof_Trial01</t>
  </si>
  <si>
    <t>0821_StructuralP1p0_H1p0_solitary_SF6_5HzForceFbk</t>
  </si>
  <si>
    <t>not unstable</t>
  </si>
  <si>
    <t>2:25p</t>
  </si>
  <si>
    <t>20260821_sdof_Trial02</t>
  </si>
  <si>
    <t>0821_StructuralP1p0_H1p0_solitary_SF6_5HzBoth</t>
  </si>
  <si>
    <t>20260821_sdof_Trial03</t>
  </si>
  <si>
    <t>0821_StructuralP1p0_H1p0_solitary_SF6_2HzBoth</t>
  </si>
  <si>
    <t>unstable when AFC on</t>
  </si>
  <si>
    <t>20260821_sdof_Trial04</t>
  </si>
  <si>
    <t>0821_StructuralP1p0_H1p0_solitary_SF6_2HzForceFbk</t>
  </si>
  <si>
    <t>20260821_bridge_Trial17</t>
  </si>
  <si>
    <t>0821_GusBridge_rowNeg11_8Core.mat</t>
  </si>
  <si>
    <t>1451; 8 cores; 2 slowdown</t>
  </si>
  <si>
    <t>20260821_bridge_Trial18</t>
  </si>
  <si>
    <t>0821_GusBridge_rowNeg12_20Core.mat</t>
  </si>
  <si>
    <t>1503; 20 cores;  didnt work, NAN</t>
  </si>
  <si>
    <t>20260821_bridge_Trial19</t>
  </si>
  <si>
    <t>0821_GusBridge_rowNeg120_20Core.mat</t>
  </si>
  <si>
    <t>1503; 20 cores; didnt work, NAN</t>
  </si>
  <si>
    <t>0821_GusBridge_rowNeg121_20Core.mat</t>
  </si>
  <si>
    <t xml:space="preserve"> didnt work, NAN</t>
  </si>
  <si>
    <t>20260821_bridge_Trial20</t>
  </si>
  <si>
    <t>0821_GusBridge_rowNeg15_8Core.mat</t>
  </si>
  <si>
    <r>
      <rPr>
        <rFont val="Calibri"/>
        <color theme="1"/>
      </rPr>
      <t xml:space="preserve">1521; </t>
    </r>
    <r>
      <rPr>
        <rFont val="Calibri"/>
        <color rgb="FFFF0000"/>
      </rPr>
      <t>3 holds</t>
    </r>
    <r>
      <rPr>
        <rFont val="Calibri"/>
        <color theme="1"/>
      </rPr>
      <t>; 9 slowdowns</t>
    </r>
  </si>
  <si>
    <t>20260821_bridge_Trial22</t>
  </si>
  <si>
    <t>0821_GusBridge_rowNeg6_Serial.mat</t>
  </si>
  <si>
    <t>1528; at least 35 holds; 2/3 is slowdown; ran for 80s</t>
  </si>
  <si>
    <t>20260821_bridge_Trial23</t>
  </si>
  <si>
    <t>0821_GusBridge_rowNeg13_8Core.mat</t>
  </si>
  <si>
    <t>1535;8 cores; no slowdowns at all</t>
  </si>
  <si>
    <r>
      <rPr>
        <rFont val="Calibri"/>
        <color theme="1"/>
        <sz val="11.0"/>
      </rPr>
      <t xml:space="preserve">Run example RTHS raw command (no filter, controller) to </t>
    </r>
    <r>
      <rPr>
        <rFont val="Calibri"/>
        <b/>
        <color rgb="FFCC0000"/>
        <sz val="11.0"/>
      </rPr>
      <t>initialize AFC</t>
    </r>
  </si>
  <si>
    <t>20260821_bridge_Trial24</t>
  </si>
  <si>
    <t>0821_GusBridge_rowNeg14_8Core.mat</t>
  </si>
  <si>
    <t>1544;8cores; one single slowdown at 10s in but not during EQ</t>
  </si>
  <si>
    <t>20260821_bridge_Trial26</t>
  </si>
  <si>
    <t>0821_GusBridge_rowNeg2_8Core.mat</t>
  </si>
  <si>
    <t>1601; 8cores; 10 slowdowns; myabe 1-2holds</t>
  </si>
  <si>
    <t>20260821_bridge_Trial27</t>
  </si>
  <si>
    <t>0821_GusBridge_rowNeg4_8Core_P1.mat</t>
  </si>
  <si>
    <t>1625; one single slowdonw</t>
  </si>
  <si>
    <t>20260821_bridge_Trial28</t>
  </si>
  <si>
    <t>0821_GusBridge_rowNeg16_8Core_P1.mat</t>
  </si>
  <si>
    <t>signal kinda crazy; one single slowdown at 25s;1639</t>
  </si>
  <si>
    <t>20260821_bridge_Trial29</t>
  </si>
  <si>
    <t>0821_GusBridge_rowNeg16_8Core_P1_alpha0.mat</t>
  </si>
  <si>
    <t>1644; changing overrride to 0.0</t>
  </si>
  <si>
    <t>20260821_bridge_Trial30</t>
  </si>
  <si>
    <r>
      <rPr>
        <rFont val="Calibri"/>
        <color theme="1"/>
        <sz val="11.0"/>
      </rPr>
      <t xml:space="preserve">Run varying </t>
    </r>
    <r>
      <rPr>
        <rFont val="Calibri"/>
        <b/>
        <color rgb="FFCC0000"/>
        <sz val="11.0"/>
      </rPr>
      <t>solitary waves</t>
    </r>
    <r>
      <rPr>
        <rFont val="Calibri"/>
        <color theme="1"/>
        <sz val="11.0"/>
      </rPr>
      <t xml:space="preserve"> (LC13-17) on fixed cylinder/</t>
    </r>
    <r>
      <rPr>
        <rFont val="Calibri"/>
        <b/>
        <color rgb="FFCC0000"/>
        <sz val="11.0"/>
      </rPr>
      <t>hold condition</t>
    </r>
  </si>
  <si>
    <t>0821_GusBridge_rowNeg17_8Core_P1.mat</t>
  </si>
  <si>
    <t>1649; not   single slowdown</t>
  </si>
  <si>
    <t>20260822_monopile_Trial01</t>
  </si>
  <si>
    <t>0822_pinkMultisine_dry</t>
  </si>
  <si>
    <t>08/14/2026 - Fri</t>
  </si>
  <si>
    <t>RTHS LC3_steady: OC3Monopile (irreg waves)</t>
  </si>
  <si>
    <t>RTHS LC1_turbulent: OC3Monopile</t>
  </si>
  <si>
    <t>RTHS LC2_turbulent: OC3Monopile (irreg waves)</t>
  </si>
  <si>
    <t>RTHS LC3_turbulent : OC3Monopile</t>
  </si>
  <si>
    <t>*multiple times for repeatability</t>
  </si>
  <si>
    <r>
      <rPr>
        <rFont val="Calibri"/>
        <color theme="1"/>
        <sz val="11.0"/>
      </rPr>
      <t xml:space="preserve">RTHS: </t>
    </r>
    <r>
      <rPr>
        <rFont val="Calibri"/>
        <b/>
        <color rgb="FFCC0000"/>
        <sz val="11.0"/>
      </rPr>
      <t xml:space="preserve">steady </t>
    </r>
    <r>
      <rPr>
        <rFont val="Calibri"/>
        <color theme="1"/>
        <sz val="11.0"/>
      </rPr>
      <t xml:space="preserve">wind OC3Mnpl cases LC 3 for </t>
    </r>
    <r>
      <rPr>
        <rFont val="Calibri"/>
        <color rgb="FF0000FF"/>
        <sz val="11.0"/>
        <u/>
      </rPr>
      <t>irreg</t>
    </r>
    <r>
      <rPr>
        <rFont val="Calibri"/>
        <color theme="1"/>
        <sz val="11.0"/>
      </rPr>
      <t xml:space="preserve"> waves (18m/s)</t>
    </r>
  </si>
  <si>
    <t>-&gt; steady wind condition with irregular waves</t>
  </si>
  <si>
    <t>-&gt; turbulent wind condition with irreg waves</t>
  </si>
  <si>
    <t xml:space="preserve">RTHS LC1_turbulent: OC3Monopile </t>
  </si>
  <si>
    <t>-&gt; turbulent wind condition with irregular waves</t>
  </si>
  <si>
    <t>RTHS LC2_turbulent : OC3Monopile (irreg waves)</t>
  </si>
  <si>
    <t xml:space="preserve">-&gt; turbulent wind condition with irreg </t>
  </si>
  <si>
    <t>RTHS LC3_turbulent : OC3Monopile (irreg waves)</t>
  </si>
  <si>
    <r>
      <rPr>
        <rFont val="Calibri"/>
        <color theme="1"/>
        <sz val="11.0"/>
      </rPr>
      <t xml:space="preserve">RTHS: </t>
    </r>
    <r>
      <rPr>
        <rFont val="Calibri"/>
        <b/>
        <color rgb="FFCC0000"/>
        <sz val="11.0"/>
      </rPr>
      <t xml:space="preserve">turbulent </t>
    </r>
    <r>
      <rPr>
        <rFont val="Calibri"/>
        <color theme="1"/>
        <sz val="11.0"/>
      </rPr>
      <t xml:space="preserve">wind OC3Mnpl cases LC 1-3  (6,12,18m/s) for </t>
    </r>
    <r>
      <rPr>
        <rFont val="Calibri"/>
        <color rgb="FF0000FF"/>
        <sz val="11.0"/>
        <u/>
      </rPr>
      <t>irreg</t>
    </r>
    <r>
      <rPr>
        <rFont val="Calibri"/>
        <color theme="1"/>
        <sz val="11.0"/>
      </rPr>
      <t xml:space="preserve"> wave</t>
    </r>
  </si>
  <si>
    <t>7/21/2026 - Tues</t>
  </si>
  <si>
    <t>Solitary LC15, sDOF RTHS: scale 10</t>
  </si>
  <si>
    <t>Solitary LC15, sDOF RTHS: scale 3</t>
  </si>
  <si>
    <t>Solitary LC15, sDOF RTHS: scale 5</t>
  </si>
  <si>
    <t>Solitary LC17, sDOF RTHS: scale 10</t>
  </si>
  <si>
    <t>Solitary LC17, sDOF RTHS: scale 3</t>
  </si>
  <si>
    <t>Solitary LC17, sDOF RTHS: scale 5</t>
  </si>
  <si>
    <r>
      <rPr>
        <rFont val="Calibri"/>
        <color theme="1"/>
      </rPr>
      <t>Run a solitary wave (LC15 baseline) on sDOF model, vary</t>
    </r>
    <r>
      <rPr>
        <rFont val="Calibri"/>
        <color rgb="FFCC0000"/>
      </rPr>
      <t xml:space="preserve"> </t>
    </r>
    <r>
      <rPr>
        <rFont val="Calibri"/>
        <b/>
        <color rgb="FFCC0000"/>
      </rPr>
      <t>scale factor</t>
    </r>
    <r>
      <rPr>
        <rFont val="Calibri"/>
        <color theme="1"/>
      </rPr>
      <t xml:space="preserve"> (3,5,10)</t>
    </r>
  </si>
  <si>
    <t>-&gt; higher steepness waves</t>
  </si>
  <si>
    <t>Run a solitary wave (LC17 small wave) on sDOF model, vary scale factor (3,5,10)</t>
  </si>
  <si>
    <r>
      <rPr>
        <rFont val="Calibri"/>
        <color theme="1"/>
        <sz val="11.0"/>
      </rPr>
      <t xml:space="preserve">baseline solitary (LC15) on sDOF, vary numerical </t>
    </r>
    <r>
      <rPr>
        <rFont val="Calibri"/>
        <b/>
        <color rgb="FFCC0000"/>
        <sz val="11.0"/>
      </rPr>
      <t>natural period</t>
    </r>
    <r>
      <rPr>
        <rFont val="Calibri"/>
        <color theme="1"/>
        <sz val="11.0"/>
      </rPr>
      <t xml:space="preserve"> (2s)</t>
    </r>
  </si>
  <si>
    <t>08/17/2026 - Mon</t>
  </si>
  <si>
    <t>RTHS LC8_steady: OC3Monopile (irreg waves)</t>
  </si>
  <si>
    <t>RTHS LC9_steady: OC3Monopile (irreg waves)</t>
  </si>
  <si>
    <t>RTHS LC10_steady: OC3Monopile (irreg waves)</t>
  </si>
  <si>
    <t>7/22/2026 - Wed</t>
  </si>
  <si>
    <t>RTHS LC8_turbulent: OC3Monopile (irreg waves)</t>
  </si>
  <si>
    <t>RTHS LC9_turbulent: OC3Monopile (irreg waves)</t>
  </si>
  <si>
    <t>RTHS LC10: OC3Monopile (irreg waves)</t>
  </si>
  <si>
    <t>Solitary LC15, sDOF RTHS: period 3</t>
  </si>
  <si>
    <t>Solitary LC15, sDOF RTHS: scale 11.8</t>
  </si>
  <si>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rgb="FF0000FF"/>
        <sz val="11.0"/>
        <u/>
      </rPr>
      <t>irreg</t>
    </r>
    <r>
      <rPr>
        <rFont val="Calibri"/>
        <color theme="1"/>
        <sz val="11.0"/>
      </rPr>
      <t xml:space="preserve"> waves (16,20,24m/s)</t>
    </r>
  </si>
  <si>
    <t>RTHS LC1: OC3Monopile (with controller)</t>
  </si>
  <si>
    <t xml:space="preserve">RTHS LC2_steady: OC3Monopile </t>
  </si>
  <si>
    <t>-&gt; faster steady wind condition with irregular waves</t>
  </si>
  <si>
    <t>-&gt; fast steady wind condition with irregular waves</t>
  </si>
  <si>
    <r>
      <rPr>
        <rFont val="Calibri"/>
        <color theme="1"/>
        <sz val="11.0"/>
      </rPr>
      <t xml:space="preserve">Finish solitary wave studies on sDOF (LC15), vary </t>
    </r>
    <r>
      <rPr>
        <rFont val="Calibri"/>
        <b/>
        <color rgb="FFCC0000"/>
        <sz val="11.0"/>
      </rPr>
      <t>numerical period</t>
    </r>
    <r>
      <rPr>
        <rFont val="Calibri"/>
        <color theme="1"/>
        <sz val="11.0"/>
      </rPr>
      <t xml:space="preserve"> (3,4s)</t>
    </r>
  </si>
  <si>
    <t>-&gt; faster but still steady wind condition with irregular waves</t>
  </si>
  <si>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rgb="FF0000FF"/>
        <sz val="11.0"/>
        <u/>
      </rPr>
      <t>irreg</t>
    </r>
    <r>
      <rPr>
        <rFont val="Calibri"/>
        <color theme="1"/>
        <sz val="11.0"/>
      </rPr>
      <t xml:space="preserve"> wave</t>
    </r>
  </si>
  <si>
    <t>-&gt; steady, baseline OC3Mnpl case with reg wave conditions</t>
  </si>
  <si>
    <t>RTHS LC2_steady: OC3Monopile</t>
  </si>
  <si>
    <t>Run a solitary wave (LC15 baseline) on sDOF model, using monopile scale factor (11.8)</t>
  </si>
  <si>
    <r>
      <rPr>
        <rFont val="Calibri"/>
        <color theme="1"/>
        <sz val="11.0"/>
      </rPr>
      <t xml:space="preserve">RTHS: </t>
    </r>
    <r>
      <rPr>
        <rFont val="Calibri"/>
        <b/>
        <color rgb="FFCC0000"/>
        <sz val="11.0"/>
      </rPr>
      <t>steady</t>
    </r>
    <r>
      <rPr>
        <rFont val="Calibri"/>
        <color theme="1"/>
        <sz val="11.0"/>
      </rPr>
      <t xml:space="preserve">, baseline OC3Mnpl case LC1 for </t>
    </r>
    <r>
      <rPr>
        <rFont val="Calibri"/>
        <color theme="1"/>
        <sz val="11.0"/>
        <u/>
      </rPr>
      <t xml:space="preserve">standard </t>
    </r>
    <r>
      <rPr>
        <rFont val="Calibri"/>
        <color theme="1"/>
        <sz val="11.0"/>
      </rPr>
      <t>reg waves (6m/s, 12 m/s)</t>
    </r>
  </si>
  <si>
    <t>7/23/2026 - Thurs</t>
  </si>
  <si>
    <t>RTHS LC3_steady: OC3Monopile (reg waves)</t>
  </si>
  <si>
    <t>RTHS LC2_turbulent: OC3Monopile (reg waves)</t>
  </si>
  <si>
    <r>
      <rPr>
        <rFont val="Calibri"/>
        <color theme="1"/>
        <sz val="11.0"/>
      </rPr>
      <t xml:space="preserve">RTHS: </t>
    </r>
    <r>
      <rPr>
        <rFont val="Calibri"/>
        <b/>
        <color rgb="FFCC0000"/>
        <sz val="11.0"/>
      </rPr>
      <t xml:space="preserve">steady </t>
    </r>
    <r>
      <rPr>
        <rFont val="Calibri"/>
        <color theme="1"/>
        <sz val="11.0"/>
      </rPr>
      <t xml:space="preserve">wind OC3Mnpl cases LC 3 for </t>
    </r>
    <r>
      <rPr>
        <rFont val="Calibri"/>
        <color theme="1"/>
        <sz val="11.0"/>
        <u/>
      </rPr>
      <t>standard</t>
    </r>
    <r>
      <rPr>
        <rFont val="Calibri"/>
        <color theme="1"/>
        <sz val="11.0"/>
      </rPr>
      <t xml:space="preserve"> reg waves (18m/s)</t>
    </r>
  </si>
  <si>
    <t>-&gt; steady wind condition with regular waves</t>
  </si>
  <si>
    <t>-&gt; turbulent wind condition with regular waves</t>
  </si>
  <si>
    <t>RTHS LC2_turbulent : OC3Monopile (reg waves)</t>
  </si>
  <si>
    <t xml:space="preserve">-&gt; turbulent wind condition with reg </t>
  </si>
  <si>
    <t>RTHS LC3_turbulent : OC3Monopile (reg waves)</t>
  </si>
  <si>
    <r>
      <rPr>
        <rFont val="Calibri"/>
        <color theme="1"/>
        <sz val="11.0"/>
      </rPr>
      <t xml:space="preserve">RTHS: </t>
    </r>
    <r>
      <rPr>
        <rFont val="Calibri"/>
        <b/>
        <color rgb="FFCC0000"/>
        <sz val="11.0"/>
      </rPr>
      <t xml:space="preserve">turbulent </t>
    </r>
    <r>
      <rPr>
        <rFont val="Calibri"/>
        <color theme="1"/>
        <sz val="11.0"/>
      </rPr>
      <t xml:space="preserve">wind OC3Mnpl cases LC 1-3  (6,12,18m/s) for </t>
    </r>
    <r>
      <rPr>
        <rFont val="Calibri"/>
        <color theme="1"/>
        <sz val="11.0"/>
        <u/>
      </rPr>
      <t>standard</t>
    </r>
    <r>
      <rPr>
        <rFont val="Calibri"/>
        <color theme="1"/>
        <sz val="11.0"/>
      </rPr>
      <t xml:space="preserve"> reg wave</t>
    </r>
  </si>
  <si>
    <t>08/18/2026 - Tues</t>
  </si>
  <si>
    <t>RTHS Re_LC2_steady: OC3Monopile (irreg waves)</t>
  </si>
  <si>
    <t>RTHS Re_LC3_turbulent: OC3Monopile (irreg waves)</t>
  </si>
  <si>
    <t>7/24/2026 - Fri</t>
  </si>
  <si>
    <t>RTHS Ca_LC2_steady: OC3Monopile (irreg waves)</t>
  </si>
  <si>
    <t>RTHS Ca_LC3_turbulent: OC3Monopile (irreg waves)</t>
  </si>
  <si>
    <r>
      <rPr>
        <rFont val="Calibri"/>
        <color theme="1"/>
        <sz val="11.0"/>
      </rPr>
      <t xml:space="preserve">RTHS: </t>
    </r>
    <r>
      <rPr>
        <rFont val="Calibri"/>
        <b/>
        <color rgb="FFCC0000"/>
        <sz val="11.0"/>
      </rPr>
      <t xml:space="preserve">reynolds </t>
    </r>
    <r>
      <rPr>
        <rFont val="Calibri"/>
        <color theme="1"/>
        <sz val="11.0"/>
      </rPr>
      <t xml:space="preserve">similitude for steady (LC2) and turbulent (LC3) for </t>
    </r>
    <r>
      <rPr>
        <rFont val="Calibri"/>
        <color rgb="FF0000FF"/>
        <sz val="11.0"/>
        <u/>
      </rPr>
      <t>irreg</t>
    </r>
    <r>
      <rPr>
        <rFont val="Calibri"/>
        <color theme="1"/>
        <sz val="11.0"/>
      </rPr>
      <t xml:space="preserve"> wave</t>
    </r>
  </si>
  <si>
    <r>
      <rPr>
        <rFont val="Calibri"/>
        <color theme="1"/>
        <sz val="11.0"/>
      </rPr>
      <t xml:space="preserve">RTHS: </t>
    </r>
    <r>
      <rPr>
        <rFont val="Calibri"/>
        <b/>
        <color rgb="FFCC0000"/>
        <sz val="11.0"/>
      </rPr>
      <t xml:space="preserve">reynolds </t>
    </r>
    <r>
      <rPr>
        <rFont val="Calibri"/>
        <color theme="1"/>
        <sz val="11.0"/>
      </rPr>
      <t xml:space="preserve">similitude for steady (LC2) and turbulent (LC3) for </t>
    </r>
    <r>
      <rPr>
        <rFont val="Calibri"/>
        <color theme="1"/>
        <sz val="11.0"/>
        <u/>
      </rPr>
      <t>standard</t>
    </r>
    <r>
      <rPr>
        <rFont val="Calibri"/>
        <color theme="1"/>
        <sz val="11.0"/>
      </rPr>
      <t xml:space="preserve"> reg wave</t>
    </r>
  </si>
  <si>
    <r>
      <rPr>
        <rFont val="Calibri"/>
        <color theme="1"/>
        <sz val="11.0"/>
      </rPr>
      <t>RTHS:</t>
    </r>
    <r>
      <rPr>
        <rFont val="Calibri"/>
        <b/>
        <color rgb="FFCC0000"/>
        <sz val="11.0"/>
      </rPr>
      <t xml:space="preserve"> cauchy </t>
    </r>
    <r>
      <rPr>
        <rFont val="Calibri"/>
        <color theme="1"/>
        <sz val="11.0"/>
      </rPr>
      <t xml:space="preserve">similitude for steady (LC2) and turbulent (LC3) for </t>
    </r>
    <r>
      <rPr>
        <rFont val="Calibri"/>
        <color rgb="FF0000FF"/>
        <sz val="11.0"/>
        <u/>
      </rPr>
      <t>irreg</t>
    </r>
    <r>
      <rPr>
        <rFont val="Calibri"/>
        <color theme="1"/>
        <sz val="11.0"/>
      </rPr>
      <t xml:space="preserve"> wave</t>
    </r>
  </si>
  <si>
    <r>
      <rPr>
        <rFont val="Calibri"/>
        <color theme="1"/>
        <sz val="11.0"/>
      </rPr>
      <t>RTHS:</t>
    </r>
    <r>
      <rPr>
        <rFont val="Calibri"/>
        <b/>
        <color rgb="FFCC0000"/>
        <sz val="11.0"/>
      </rPr>
      <t xml:space="preserve"> cauchy </t>
    </r>
    <r>
      <rPr>
        <rFont val="Calibri"/>
        <color theme="1"/>
        <sz val="11.0"/>
      </rPr>
      <t xml:space="preserve">similitude for steady (LC2) and turbulent (LC3) for </t>
    </r>
    <r>
      <rPr>
        <rFont val="Calibri"/>
        <color theme="1"/>
        <sz val="11.0"/>
        <u/>
      </rPr>
      <t>standard</t>
    </r>
    <r>
      <rPr>
        <rFont val="Calibri"/>
        <color theme="1"/>
        <sz val="11.0"/>
      </rPr>
      <t xml:space="preserve"> reg wave</t>
    </r>
  </si>
  <si>
    <t>07/27- Monday</t>
  </si>
  <si>
    <t>Day</t>
  </si>
  <si>
    <t>Things to Do</t>
  </si>
  <si>
    <t>Akiri</t>
  </si>
  <si>
    <t>7/15; Wednesday</t>
  </si>
  <si>
    <t>1. setup PC, speedgoat; connect all wires and ensure communication</t>
  </si>
  <si>
    <t>2. setup MTS controller?</t>
  </si>
  <si>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theme="1"/>
        <sz val="11.0"/>
        <u/>
      </rPr>
      <t>standard</t>
    </r>
    <r>
      <rPr>
        <rFont val="Calibri"/>
        <color theme="1"/>
        <sz val="11.0"/>
      </rPr>
      <t xml:space="preserve"> reg waves (16,20,24m/s)</t>
    </r>
  </si>
  <si>
    <t>Official Testing</t>
  </si>
  <si>
    <t>7/20; Monday</t>
  </si>
  <si>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theme="1"/>
        <sz val="11.0"/>
        <u/>
      </rPr>
      <t>standard</t>
    </r>
    <r>
      <rPr>
        <rFont val="Calibri"/>
        <color theme="1"/>
        <sz val="11.0"/>
      </rPr>
      <t xml:space="preserve"> reg wave</t>
    </r>
  </si>
  <si>
    <t>After hours</t>
  </si>
  <si>
    <t>08/19/2026 - Wed</t>
  </si>
  <si>
    <t>RTHS LC2_steady_soilFixed: OC3Monopile (irreg waves)</t>
  </si>
  <si>
    <t>RTHS LC2_steady_soilLinear: OC3Monopile (irreg waves)</t>
  </si>
  <si>
    <t>RTHS LC2_steady_soilBilinear: OC3Monopile (irreg waves)</t>
  </si>
  <si>
    <t>RTHS LC2_steady_soilPY: OC3Monopile (irreg waves)</t>
  </si>
  <si>
    <t>RTHS LC2_steady_soilBridge: OC3Monopile (irreg waves)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</si>
  <si>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t>
    </r>
  </si>
  <si>
    <t>-&gt; fixed soil model, steady wind condition with irreg waves</t>
  </si>
  <si>
    <t>07/28- Tues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</si>
  <si>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t>
    </r>
  </si>
  <si>
    <t>08/20/2026 -Thurs</t>
  </si>
  <si>
    <t>RTHS LC2_turbulent_soilFixed: OC3Monopile (irreg waves)</t>
  </si>
  <si>
    <t>RTHS LC2_turbulent_soilLinear: OC3Monopile (irreg waves)</t>
  </si>
  <si>
    <t>RTHS LC2_turbulent_soilBilinear: OC3Monopile (irreg waves)</t>
  </si>
  <si>
    <t>RTHS LC2_turbulent_soilPY: OC3Monopile (irreg waves)</t>
  </si>
  <si>
    <t>RTHS LC2_turbulent_soilBridge: OC3Monopile (irreg waves)</t>
  </si>
  <si>
    <r>
      <rPr>
        <rFont val="Calibri"/>
        <color theme="1"/>
        <sz val="11.0"/>
      </rPr>
      <t xml:space="preserve">RTHS: </t>
    </r>
    <r>
      <rPr>
        <rFont val="Calibri"/>
        <b/>
        <color theme="1"/>
        <sz val="11.0"/>
      </rPr>
      <t xml:space="preserve">turbulent </t>
    </r>
    <r>
      <rPr>
        <rFont val="Calibri"/>
        <color theme="1"/>
        <sz val="11.0"/>
      </rPr>
      <t xml:space="preserve">wind OC3Mnpl case LC3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t>
    </r>
  </si>
  <si>
    <t>-&gt; fixed soil model, turbulentwind condition with irreg waves</t>
  </si>
  <si>
    <t>07/29 - Wed</t>
  </si>
  <si>
    <r>
      <rPr>
        <rFont val="Calibri"/>
        <color theme="1"/>
        <sz val="11.0"/>
      </rPr>
      <t xml:space="preserve">RTHS: </t>
    </r>
    <r>
      <rPr>
        <rFont val="Calibri"/>
        <b/>
        <color theme="1"/>
        <sz val="11.0"/>
      </rPr>
      <t xml:space="preserve">turbulent </t>
    </r>
    <r>
      <rPr>
        <rFont val="Calibri"/>
        <color theme="1"/>
        <sz val="11.0"/>
      </rPr>
      <t xml:space="preserve">wind OC3Mnpl case LC3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t>
    </r>
  </si>
  <si>
    <t>08/21/2026 - Fri</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</si>
  <si>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</si>
  <si>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07/30 - Thurs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</si>
  <si>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theme="1"/>
        <sz val="11.0"/>
        <u/>
      </rPr>
      <t>standard</t>
    </r>
    <r>
      <rPr>
        <rFont val="Calibri"/>
        <color theme="1"/>
        <sz val="11.0"/>
      </rPr>
      <t xml:space="preserve"> reg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</si>
  <si>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08/24/2026 - Mon</t>
  </si>
  <si>
    <t>RTHS LC2: OC3Monopile (reg waves)</t>
  </si>
  <si>
    <t>RTHS LC2: OC3Monopile (irreg waves)</t>
  </si>
  <si>
    <t>RTHS LC1: OC3Monopile (with irreg waves)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</si>
  <si>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</si>
  <si>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-&gt; steady wind condition with irreg waves</t>
  </si>
  <si>
    <t>-&gt; steady, baseline OC3Mnpl case with irreg wave conditions</t>
  </si>
  <si>
    <t>-&gt; delay studies</t>
  </si>
  <si>
    <t>07/31 - Fri</t>
  </si>
  <si>
    <r>
      <rPr>
        <rFont val="Calibri"/>
        <color theme="1"/>
        <sz val="11.0"/>
      </rPr>
      <t xml:space="preserve">RTHS: </t>
    </r>
    <r>
      <rPr>
        <rFont val="Calibri"/>
        <b/>
        <color rgb="FFCC0000"/>
        <sz val="11.0"/>
      </rPr>
      <t xml:space="preserve">steady </t>
    </r>
    <r>
      <rPr>
        <rFont val="Calibri"/>
        <color theme="1"/>
        <sz val="11.0"/>
      </rPr>
      <t xml:space="preserve">wind OC3Mnpl cases LC 3 for </t>
    </r>
    <r>
      <rPr>
        <rFont val="Calibri"/>
        <color rgb="FF0000FF"/>
        <sz val="11.0"/>
        <u/>
      </rPr>
      <t>irreg</t>
    </r>
    <r>
      <rPr>
        <rFont val="Calibri"/>
        <color theme="1"/>
        <sz val="11.0"/>
      </rPr>
      <t xml:space="preserve"> waves (18m/s)</t>
    </r>
  </si>
  <si>
    <r>
      <rPr>
        <rFont val="Calibri"/>
        <color theme="1"/>
        <sz val="11.0"/>
      </rPr>
      <t xml:space="preserve">RTHS: </t>
    </r>
    <r>
      <rPr>
        <rFont val="Calibri"/>
        <b/>
        <color rgb="FFCC0000"/>
        <sz val="11.0"/>
      </rPr>
      <t xml:space="preserve">turbulent </t>
    </r>
    <r>
      <rPr>
        <rFont val="Calibri"/>
        <color theme="1"/>
        <sz val="11.0"/>
      </rPr>
      <t xml:space="preserve">wind OC3Mnpl cases LC 1-3  (6,12,18m/s) for </t>
    </r>
    <r>
      <rPr>
        <rFont val="Calibri"/>
        <color rgb="FF0000FF"/>
        <sz val="11.0"/>
        <u/>
      </rPr>
      <t>irreg</t>
    </r>
    <r>
      <rPr>
        <rFont val="Calibri"/>
        <color theme="1"/>
        <sz val="11.0"/>
      </rPr>
      <t xml:space="preserve"> wave</t>
    </r>
  </si>
  <si>
    <t>08/11- Tues</t>
  </si>
  <si>
    <t>Offline LC2: OC3Monopile (reg waves)</t>
  </si>
  <si>
    <t>Offline LC8: OC3Monopile (irreg waves)</t>
  </si>
  <si>
    <t>Offline LC2: OC3Monopile (irreg waves)</t>
  </si>
  <si>
    <t>Offline LC3: OC3Monopile (irreg waves)</t>
  </si>
  <si>
    <t>Offline LC9: OC3Monopile (irreg waves)</t>
  </si>
  <si>
    <r>
      <rPr>
        <rFont val="Calibri"/>
        <b/>
        <color rgb="FF38761D"/>
        <sz val="11.0"/>
      </rPr>
      <t>Offline</t>
    </r>
    <r>
      <rPr>
        <rFont val="Calibri"/>
        <color theme="1"/>
        <sz val="11.0"/>
      </rPr>
      <t xml:space="preserve">: </t>
    </r>
    <r>
      <rPr>
        <rFont val="Calibri"/>
        <b/>
        <color theme="1"/>
        <sz val="11.0"/>
      </rPr>
      <t>steady</t>
    </r>
    <r>
      <rPr>
        <rFont val="Calibri"/>
        <color theme="1"/>
        <sz val="11.0"/>
      </rPr>
      <t xml:space="preserve"> and </t>
    </r>
    <r>
      <rPr>
        <rFont val="Calibri"/>
        <b/>
        <color theme="1"/>
        <sz val="11.0"/>
      </rPr>
      <t>turbulent</t>
    </r>
    <r>
      <rPr>
        <rFont val="Calibri"/>
        <color theme="1"/>
        <sz val="11.0"/>
      </rPr>
      <t xml:space="preserve"> conditions with standard </t>
    </r>
    <r>
      <rPr>
        <rFont val="Calibri"/>
        <b/>
        <color theme="1"/>
        <sz val="11.0"/>
      </rPr>
      <t>regular</t>
    </r>
    <r>
      <rPr>
        <rFont val="Calibri"/>
        <color theme="1"/>
        <sz val="11.0"/>
      </rPr>
      <t xml:space="preserve"> and </t>
    </r>
    <r>
      <rPr>
        <rFont val="Calibri"/>
        <b/>
        <color theme="1"/>
        <sz val="11.0"/>
      </rPr>
      <t>irreg</t>
    </r>
    <r>
      <rPr>
        <rFont val="Calibri"/>
        <color theme="1"/>
        <sz val="11.0"/>
      </rPr>
      <t xml:space="preserve"> waves</t>
    </r>
  </si>
  <si>
    <t>Offline LC8: OC3Monopile (reg waves)</t>
  </si>
  <si>
    <t>-&gt; faster wind condition with irregular waves</t>
  </si>
  <si>
    <t>Offline LC3: OC3Monopile (reg waves)</t>
  </si>
  <si>
    <t>-&gt; turbulent wind</t>
  </si>
  <si>
    <t>08/03-Mon</t>
  </si>
  <si>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rgb="FF0000FF"/>
        <sz val="11.0"/>
        <u/>
      </rPr>
      <t>irreg</t>
    </r>
    <r>
      <rPr>
        <rFont val="Calibri"/>
        <color theme="1"/>
        <sz val="11.0"/>
      </rPr>
      <t xml:space="preserve"> waves (16,20,24m/s)</t>
    </r>
  </si>
  <si>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rgb="FF0000FF"/>
        <sz val="11.0"/>
        <u/>
      </rPr>
      <t>irreg</t>
    </r>
    <r>
      <rPr>
        <rFont val="Calibri"/>
        <color theme="1"/>
        <sz val="11.0"/>
      </rPr>
      <t xml:space="preserve"> wave</t>
    </r>
  </si>
  <si>
    <t>08/12- Wed</t>
  </si>
  <si>
    <r>
      <rPr>
        <rFont val="Calibri"/>
        <color theme="1"/>
        <sz val="11.0"/>
      </rPr>
      <t xml:space="preserve">RTHS: </t>
    </r>
    <r>
      <rPr>
        <rFont val="Calibri"/>
        <b/>
        <color rgb="FFCC0000"/>
        <sz val="11.0"/>
      </rPr>
      <t xml:space="preserve">steady </t>
    </r>
    <r>
      <rPr>
        <rFont val="Calibri"/>
        <color theme="1"/>
        <sz val="11.0"/>
      </rPr>
      <t xml:space="preserve">wind OC3Mnpl cases LC 3 for </t>
    </r>
    <r>
      <rPr>
        <rFont val="Calibri"/>
        <color rgb="FF0000FF"/>
        <sz val="11.0"/>
        <u/>
      </rPr>
      <t>extreme</t>
    </r>
    <r>
      <rPr>
        <rFont val="Calibri"/>
        <color theme="1"/>
        <sz val="11.0"/>
      </rPr>
      <t xml:space="preserve"> waves (18m/s)</t>
    </r>
  </si>
  <si>
    <r>
      <rPr>
        <rFont val="Calibri"/>
        <color theme="1"/>
        <sz val="11.0"/>
      </rPr>
      <t xml:space="preserve">RTHS: </t>
    </r>
    <r>
      <rPr>
        <rFont val="Calibri"/>
        <b/>
        <color rgb="FFCC0000"/>
        <sz val="11.0"/>
      </rPr>
      <t xml:space="preserve">turbulent </t>
    </r>
    <r>
      <rPr>
        <rFont val="Calibri"/>
        <color theme="1"/>
        <sz val="11.0"/>
      </rPr>
      <t xml:space="preserve">wind OC3Mnpl cases LC 1-3  (6,12,18m/s) for </t>
    </r>
    <r>
      <rPr>
        <rFont val="Calibri"/>
        <color rgb="FF0000FF"/>
        <sz val="11.0"/>
        <u/>
      </rPr>
      <t>extreme</t>
    </r>
    <r>
      <rPr>
        <rFont val="Calibri"/>
        <color theme="1"/>
        <sz val="11.0"/>
      </rPr>
      <t xml:space="preserve"> wave</t>
    </r>
  </si>
  <si>
    <t>08/04- Tues</t>
  </si>
  <si>
    <r>
      <rPr>
        <rFont val="Calibri"/>
        <color theme="1"/>
        <sz val="11.0"/>
      </rPr>
      <t xml:space="preserve">RTHS: </t>
    </r>
    <r>
      <rPr>
        <rFont val="Calibri"/>
        <b/>
        <color rgb="FFCC0000"/>
        <sz val="11.0"/>
      </rPr>
      <t xml:space="preserve">reynolds </t>
    </r>
    <r>
      <rPr>
        <rFont val="Calibri"/>
        <color theme="1"/>
        <sz val="11.0"/>
      </rPr>
      <t xml:space="preserve">similitude for steady (LC2) and turbulent (LC3) for </t>
    </r>
    <r>
      <rPr>
        <rFont val="Calibri"/>
        <color rgb="FF0000FF"/>
        <sz val="11.0"/>
        <u/>
      </rPr>
      <t>irreg</t>
    </r>
    <r>
      <rPr>
        <rFont val="Calibri"/>
        <color theme="1"/>
        <sz val="11.0"/>
      </rPr>
      <t xml:space="preserve"> wave</t>
    </r>
  </si>
  <si>
    <r>
      <rPr>
        <rFont val="Calibri"/>
        <color theme="1"/>
        <sz val="11.0"/>
      </rPr>
      <t>RTHS:</t>
    </r>
    <r>
      <rPr>
        <rFont val="Calibri"/>
        <b/>
        <color rgb="FFCC0000"/>
        <sz val="11.0"/>
      </rPr>
      <t xml:space="preserve"> cauchy </t>
    </r>
    <r>
      <rPr>
        <rFont val="Calibri"/>
        <color theme="1"/>
        <sz val="11.0"/>
      </rPr>
      <t xml:space="preserve">similitude for steady (LC2) and turbulent (LC3) for </t>
    </r>
    <r>
      <rPr>
        <rFont val="Calibri"/>
        <color rgb="FF0000FF"/>
        <sz val="11.0"/>
        <u/>
      </rPr>
      <t>irreg</t>
    </r>
    <r>
      <rPr>
        <rFont val="Calibri"/>
        <color theme="1"/>
        <sz val="11.0"/>
      </rPr>
      <t xml:space="preserve"> wave</t>
    </r>
  </si>
  <si>
    <t>08/13-Thurs</t>
  </si>
  <si>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rgb="FF0000FF"/>
        <sz val="11.0"/>
        <u/>
      </rPr>
      <t>extreme</t>
    </r>
    <r>
      <rPr>
        <rFont val="Calibri"/>
        <color theme="1"/>
        <sz val="11.0"/>
      </rPr>
      <t xml:space="preserve"> waves (16,20,24m/s)</t>
    </r>
  </si>
  <si>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rgb="FF0000FF"/>
        <sz val="11.0"/>
        <u/>
      </rPr>
      <t>extreme</t>
    </r>
    <r>
      <rPr>
        <rFont val="Calibri"/>
        <color theme="1"/>
        <sz val="11.0"/>
      </rPr>
      <t xml:space="preserve"> wave</t>
    </r>
  </si>
  <si>
    <t>08/05- Wed</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</si>
  <si>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t>
    </r>
  </si>
  <si>
    <t>08/18- Tues</t>
  </si>
  <si>
    <t>Offline LC10: OC3Monopile (reg waves)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</si>
  <si>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</si>
  <si>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08/06-Thurs</t>
  </si>
  <si>
    <t>-&gt; faster wind condition with regular waves</t>
  </si>
  <si>
    <t>-&gt; slightly wind condition with irregular waves</t>
  </si>
  <si>
    <r>
      <rPr>
        <rFont val="Calibri"/>
        <color theme="1"/>
        <sz val="11.0"/>
      </rPr>
      <t xml:space="preserve">RTHS: </t>
    </r>
    <r>
      <rPr>
        <rFont val="Calibri"/>
        <b/>
        <color theme="1"/>
        <sz val="11.0"/>
      </rPr>
      <t xml:space="preserve">turbulent </t>
    </r>
    <r>
      <rPr>
        <rFont val="Calibri"/>
        <color theme="1"/>
        <sz val="11.0"/>
      </rPr>
      <t xml:space="preserve">wind OC3Mnpl case LC3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t>
    </r>
  </si>
  <si>
    <t>08/20-Thurs</t>
  </si>
  <si>
    <t>08/07-Fri</t>
  </si>
  <si>
    <r>
      <rPr>
        <rFont val="Calibri"/>
        <color theme="1"/>
        <sz val="11.0"/>
      </rPr>
      <t xml:space="preserve">RTHS: </t>
    </r>
    <r>
      <rPr>
        <rFont val="Calibri"/>
        <b/>
        <color theme="1"/>
        <sz val="11.0"/>
      </rPr>
      <t xml:space="preserve">turbulent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</si>
  <si>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</si>
  <si>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08/21-Fri</t>
  </si>
  <si>
    <t>08/10-Mon</t>
  </si>
  <si>
    <t>RTHS LC1: delay (reg waves)</t>
  </si>
  <si>
    <t>RTHS LC1: ssi p-y spring model (irreg waves)</t>
  </si>
  <si>
    <t>RTHS LC8: ssi bridge spring model (reg waves)</t>
  </si>
  <si>
    <t>RTHS LC9: ssi bridge soil model (irreg waves)</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</si>
  <si>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irreg</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</si>
  <si>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r>
      <rPr>
        <rFont val="Calibri"/>
        <color theme="1"/>
        <sz val="11.0"/>
      </rPr>
      <t xml:space="preserve">RTHS: </t>
    </r>
    <r>
      <rPr>
        <rFont val="Calibri"/>
        <color rgb="FFFF0000"/>
        <sz val="11.0"/>
      </rPr>
      <t>Yun's delay</t>
    </r>
    <r>
      <rPr>
        <rFont val="Calibri"/>
        <color theme="1"/>
        <sz val="11.0"/>
      </rPr>
      <t xml:space="preserve"> tests</t>
    </r>
  </si>
  <si>
    <t>RTHS LC1: ssi p-y spring model  (reg waves)</t>
  </si>
  <si>
    <t>-&gt; ssi p-y spring model</t>
  </si>
  <si>
    <t>RTHS LC1: ssi p-y spring model  (irreg waves)</t>
  </si>
  <si>
    <t>-&gt; steady winds</t>
  </si>
  <si>
    <t>RTHS LC8: ssi bridge spring model  (reg waves)</t>
  </si>
  <si>
    <t>-&gt; turbulent winds</t>
  </si>
  <si>
    <t>RTHS LC9: ssi bridge soil model  (irreg waves)</t>
  </si>
  <si>
    <t>08/24-Mon</t>
  </si>
  <si>
    <r>
      <rPr>
        <rFont val="Calibri"/>
        <b/>
        <color rgb="FF38761D"/>
        <sz val="11.0"/>
      </rPr>
      <t>Offline</t>
    </r>
    <r>
      <rPr>
        <rFont val="Calibri"/>
        <color theme="1"/>
        <sz val="11.0"/>
      </rPr>
      <t xml:space="preserve">: </t>
    </r>
    <r>
      <rPr>
        <rFont val="Calibri"/>
        <b/>
        <color theme="1"/>
        <sz val="11.0"/>
      </rPr>
      <t>steady</t>
    </r>
    <r>
      <rPr>
        <rFont val="Calibri"/>
        <color theme="1"/>
        <sz val="11.0"/>
      </rPr>
      <t xml:space="preserve"> and </t>
    </r>
    <r>
      <rPr>
        <rFont val="Calibri"/>
        <b/>
        <color theme="1"/>
        <sz val="11.0"/>
      </rPr>
      <t>turbulent</t>
    </r>
    <r>
      <rPr>
        <rFont val="Calibri"/>
        <color theme="1"/>
        <sz val="11.0"/>
      </rPr>
      <t xml:space="preserve"> conditions with standard </t>
    </r>
    <r>
      <rPr>
        <rFont val="Calibri"/>
        <b/>
        <color theme="1"/>
        <sz val="11.0"/>
      </rPr>
      <t>regular</t>
    </r>
    <r>
      <rPr>
        <rFont val="Calibri"/>
        <color theme="1"/>
        <sz val="11.0"/>
      </rPr>
      <t xml:space="preserve"> and </t>
    </r>
    <r>
      <rPr>
        <rFont val="Calibri"/>
        <b/>
        <color theme="1"/>
        <sz val="11.0"/>
      </rPr>
      <t>irreg</t>
    </r>
    <r>
      <rPr>
        <rFont val="Calibri"/>
        <color theme="1"/>
        <sz val="11.0"/>
      </rPr>
      <t xml:space="preserve"> waves</t>
    </r>
  </si>
  <si>
    <t>RTHS LC3: OC3Monopile (reg waves)</t>
  </si>
  <si>
    <t>RTHS LC3: OC3Monopile (irreg waves)</t>
  </si>
  <si>
    <t>RTHS: repeatability tests</t>
  </si>
  <si>
    <r>
      <rPr>
        <rFont val="Calibri"/>
        <color theme="1"/>
      </rPr>
      <t xml:space="preserve">Repeat </t>
    </r>
    <r>
      <rPr>
        <rFont val="Calibri"/>
        <color rgb="FFFF0000"/>
      </rPr>
      <t>select tests</t>
    </r>
    <r>
      <rPr>
        <rFont val="Calibri"/>
        <color theme="1"/>
      </rPr>
      <t xml:space="preserve"> based on data post process</t>
    </r>
  </si>
  <si>
    <r>
      <rPr>
        <rFont val="Calibri"/>
        <color theme="1"/>
        <sz val="11.0"/>
      </rPr>
      <t xml:space="preserve">RTHS: </t>
    </r>
    <r>
      <rPr>
        <rFont val="Calibri"/>
        <b/>
        <color rgb="FFCC0000"/>
        <sz val="11.0"/>
      </rPr>
      <t xml:space="preserve">steady </t>
    </r>
    <r>
      <rPr>
        <rFont val="Calibri"/>
        <color theme="1"/>
        <sz val="11.0"/>
      </rPr>
      <t xml:space="preserve">wind OC3Mnpl cases LC 3 for </t>
    </r>
    <r>
      <rPr>
        <rFont val="Calibri"/>
        <color rgb="FF0000FF"/>
        <sz val="11.0"/>
        <u/>
      </rPr>
      <t>extreme</t>
    </r>
    <r>
      <rPr>
        <rFont val="Calibri"/>
        <color theme="1"/>
        <sz val="11.0"/>
      </rPr>
      <t xml:space="preserve"> waves (18m/s)</t>
    </r>
  </si>
  <si>
    <r>
      <rPr>
        <rFont val="Calibri"/>
        <color theme="1"/>
        <sz val="11.0"/>
      </rPr>
      <t xml:space="preserve">RTHS: </t>
    </r>
    <r>
      <rPr>
        <rFont val="Calibri"/>
        <b/>
        <color rgb="FFCC0000"/>
        <sz val="11.0"/>
      </rPr>
      <t xml:space="preserve">turbulent </t>
    </r>
    <r>
      <rPr>
        <rFont val="Calibri"/>
        <color theme="1"/>
        <sz val="11.0"/>
      </rPr>
      <t xml:space="preserve">wind OC3Mnpl cases LC 1-3  (6,12,18m/s) for </t>
    </r>
    <r>
      <rPr>
        <rFont val="Calibri"/>
        <color rgb="FF0000FF"/>
        <sz val="11.0"/>
        <u/>
      </rPr>
      <t>extreme</t>
    </r>
    <r>
      <rPr>
        <rFont val="Calibri"/>
        <color theme="1"/>
        <sz val="11.0"/>
      </rPr>
      <t xml:space="preserve"> wave</t>
    </r>
  </si>
  <si>
    <r>
      <rPr>
        <rFont val="Calibri"/>
        <color theme="1"/>
        <sz val="11.0"/>
      </rPr>
      <t xml:space="preserve">RTHS: </t>
    </r>
    <r>
      <rPr>
        <rFont val="Calibri"/>
        <b/>
        <color rgb="FFCC0000"/>
        <sz val="11.0"/>
      </rPr>
      <t xml:space="preserve">steady </t>
    </r>
    <r>
      <rPr>
        <rFont val="Calibri"/>
        <color theme="1"/>
        <sz val="11.0"/>
      </rPr>
      <t xml:space="preserve">wind east coast cases LC 8-10 for </t>
    </r>
    <r>
      <rPr>
        <rFont val="Calibri"/>
        <color rgb="FF0000FF"/>
        <sz val="11.0"/>
        <u/>
      </rPr>
      <t>extreme</t>
    </r>
    <r>
      <rPr>
        <rFont val="Calibri"/>
        <color theme="1"/>
        <sz val="11.0"/>
      </rPr>
      <t xml:space="preserve"> waves (16,20,24m/s)</t>
    </r>
  </si>
  <si>
    <r>
      <rPr>
        <rFont val="Calibri"/>
        <color theme="1"/>
        <sz val="11.0"/>
      </rPr>
      <t xml:space="preserve">RTHS: </t>
    </r>
    <r>
      <rPr>
        <rFont val="Calibri"/>
        <b/>
        <color rgb="FFCC0000"/>
        <sz val="11.0"/>
      </rPr>
      <t xml:space="preserve">turbulent </t>
    </r>
    <r>
      <rPr>
        <rFont val="Calibri"/>
        <color theme="1"/>
        <sz val="11.0"/>
      </rPr>
      <t xml:space="preserve">wind east coast cases LC 8-10  (16,20,24m/s) for </t>
    </r>
    <r>
      <rPr>
        <rFont val="Calibri"/>
        <color rgb="FF0000FF"/>
        <sz val="11.0"/>
        <u/>
      </rPr>
      <t>extreme</t>
    </r>
    <r>
      <rPr>
        <rFont val="Calibri"/>
        <color theme="1"/>
        <sz val="11.0"/>
      </rPr>
      <t xml:space="preserve"> wave</t>
    </r>
  </si>
  <si>
    <t>08/14-Fri</t>
  </si>
  <si>
    <r>
      <rPr>
        <rFont val="Calibri"/>
        <color theme="1"/>
        <sz val="11.0"/>
      </rPr>
      <t xml:space="preserve">RTHS: </t>
    </r>
    <r>
      <rPr>
        <rFont val="Calibri"/>
        <b/>
        <color rgb="FFCC0000"/>
        <sz val="11.0"/>
      </rPr>
      <t xml:space="preserve">reynolds </t>
    </r>
    <r>
      <rPr>
        <rFont val="Calibri"/>
        <color theme="1"/>
        <sz val="11.0"/>
      </rPr>
      <t xml:space="preserve">similitude for steady (LC2) and turbulent (LC3) for </t>
    </r>
    <r>
      <rPr>
        <rFont val="Calibri"/>
        <color rgb="FF0000FF"/>
        <sz val="11.0"/>
        <u/>
      </rPr>
      <t>extreme</t>
    </r>
    <r>
      <rPr>
        <rFont val="Calibri"/>
        <color theme="1"/>
        <sz val="11.0"/>
      </rPr>
      <t xml:space="preserve"> wave</t>
    </r>
  </si>
  <si>
    <r>
      <rPr>
        <rFont val="Calibri"/>
        <color theme="1"/>
        <sz val="11.0"/>
      </rPr>
      <t>RTHS:</t>
    </r>
    <r>
      <rPr>
        <rFont val="Calibri"/>
        <b/>
        <color rgb="FFCC0000"/>
        <sz val="11.0"/>
      </rPr>
      <t xml:space="preserve"> cauchy </t>
    </r>
    <r>
      <rPr>
        <rFont val="Calibri"/>
        <color theme="1"/>
        <sz val="11.0"/>
      </rPr>
      <t xml:space="preserve">similitude for steady (LC2) and turbulent (LC3) for </t>
    </r>
    <r>
      <rPr>
        <rFont val="Calibri"/>
        <color rgb="FF0000FF"/>
        <sz val="11.0"/>
        <u/>
      </rPr>
      <t>extreme</t>
    </r>
    <r>
      <rPr>
        <rFont val="Calibri"/>
        <color theme="1"/>
        <sz val="11.0"/>
      </rPr>
      <t xml:space="preserve"> wave</t>
    </r>
  </si>
  <si>
    <t>-&gt; modified Fr-Ca scaling</t>
  </si>
  <si>
    <t>08/17-Mon</t>
  </si>
  <si>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t>
    </r>
  </si>
  <si>
    <r>
      <rPr>
        <rFont val="Calibri"/>
        <color theme="1"/>
        <sz val="11.0"/>
      </rPr>
      <t xml:space="preserve">RTHS: </t>
    </r>
    <r>
      <rPr>
        <rFont val="Calibri"/>
        <b/>
        <color theme="1"/>
        <sz val="11.0"/>
      </rPr>
      <t xml:space="preserve">steady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</si>
  <si>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t>08/19- Wed</t>
  </si>
  <si>
    <r>
      <rPr>
        <rFont val="Calibri"/>
        <color theme="1"/>
        <sz val="11.0"/>
      </rPr>
      <t xml:space="preserve">RTHS: </t>
    </r>
    <r>
      <rPr>
        <rFont val="Calibri"/>
        <b/>
        <color theme="1"/>
        <sz val="11.0"/>
      </rPr>
      <t xml:space="preserve">turbulent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t>
    </r>
  </si>
  <si>
    <r>
      <rPr>
        <rFont val="Calibri"/>
        <color theme="1"/>
        <sz val="11.0"/>
      </rPr>
      <t xml:space="preserve">RTHS: </t>
    </r>
    <r>
      <rPr>
        <rFont val="Calibri"/>
        <b/>
        <color theme="1"/>
        <sz val="11.0"/>
      </rPr>
      <t xml:space="preserve">turbulent </t>
    </r>
    <r>
      <rPr>
        <rFont val="Calibri"/>
        <color theme="1"/>
        <sz val="11.0"/>
      </rPr>
      <t xml:space="preserve">wind OC3Mnpl case LC2 for </t>
    </r>
    <r>
      <rPr>
        <rFont val="Calibri"/>
        <color rgb="FF0000FF"/>
        <sz val="11.0"/>
        <u/>
      </rPr>
      <t>extreme</t>
    </r>
    <r>
      <rPr>
        <rFont val="Calibri"/>
        <color theme="1"/>
        <sz val="11.0"/>
      </rPr>
      <t xml:space="preserve"> waves with varying </t>
    </r>
    <r>
      <rPr>
        <rFont val="Calibri"/>
        <b/>
        <color rgb="FFCC0000"/>
        <sz val="11.0"/>
      </rPr>
      <t>soil models</t>
    </r>
    <r>
      <rPr>
        <rFont val="Calibri"/>
        <color theme="1"/>
        <sz val="11.0"/>
      </rPr>
      <t xml:space="preserve"> (fixed, linear, bilinear, p-y, bridge); applied </t>
    </r>
    <r>
      <rPr>
        <rFont val="Calibri"/>
        <b/>
        <color rgb="FFCC0000"/>
        <sz val="11.0"/>
      </rPr>
      <t xml:space="preserve">earthquake ground motion </t>
    </r>
  </si>
  <si>
    <r>
      <rPr>
        <rFont val="Calibri"/>
        <color theme="1"/>
        <sz val="11.0"/>
      </rPr>
      <t xml:space="preserve">RTHS: </t>
    </r>
    <r>
      <rPr>
        <rFont val="Calibri"/>
        <color rgb="FFFF0000"/>
        <sz val="11.0"/>
      </rPr>
      <t>Yun's delay</t>
    </r>
    <r>
      <rPr>
        <rFont val="Calibri"/>
        <color theme="1"/>
        <sz val="11.0"/>
      </rPr>
      <t xml:space="preserve"> tests</t>
    </r>
  </si>
  <si>
    <r>
      <rPr>
        <rFont val="Calibri"/>
        <color theme="1"/>
      </rPr>
      <t xml:space="preserve">Repeat </t>
    </r>
    <r>
      <rPr>
        <rFont val="Calibri"/>
        <color rgb="FFFF0000"/>
      </rPr>
      <t>select tests</t>
    </r>
    <r>
      <rPr>
        <rFont val="Calibri"/>
        <color theme="1"/>
      </rPr>
      <t xml:space="preserve"> based on data post process</t>
    </r>
  </si>
  <si>
    <t>08/25- Tues</t>
  </si>
  <si>
    <t>RTHS LC9: OC3Monopile (irreg waves)</t>
  </si>
  <si>
    <t>-&gt; continue tuning turbulent wind conditions</t>
  </si>
  <si>
    <r>
      <rPr>
        <rFont val="Calibri"/>
        <color theme="1"/>
      </rPr>
      <t xml:space="preserve">Repeat </t>
    </r>
    <r>
      <rPr>
        <rFont val="Calibri"/>
        <color rgb="FFFF0000"/>
      </rPr>
      <t>select tests</t>
    </r>
    <r>
      <rPr>
        <rFont val="Calibri"/>
        <color theme="1"/>
      </rPr>
      <t xml:space="preserve"> based on data post process</t>
    </r>
  </si>
  <si>
    <t>Repeat turbulent wind tests</t>
  </si>
  <si>
    <t>08/26- Wed</t>
  </si>
  <si>
    <t>soFAR buoy testing</t>
  </si>
  <si>
    <t>08/27-Thurs</t>
  </si>
  <si>
    <t>08/28-Fri</t>
  </si>
  <si>
    <t>cleanup - wrap up specific tests</t>
  </si>
  <si>
    <t>cleanup</t>
  </si>
  <si>
    <t>cleanup day</t>
  </si>
  <si>
    <t>unhook sensors, wires, machines, packup</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</si>
</sst>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yyyy"/>
    <numFmt numFmtId="165" formatCode="0.000"/>
    <numFmt numFmtId="166" formatCode="0.0000"/>
    <numFmt numFmtId="167" formatCode="h:mm am/pm"/>
    <numFmt numFmtId="168" formatCode="m/d"/>
    <numFmt numFmtId="169" formatCode="mm/dd/yyyy"/>
    <numFmt numFmtId="170" formatCode="mm/dd"/>
    <numFmt numFmtId="171" formatCode="0.0"/>
    <numFmt numFmtId="172" formatCode="h:mm:ss am/pm"/>
  </numFmts>
  <fonts count="26">
    <font>
      <sz val="11.0"/>
      <color theme="1"/>
      <name val="Calibri"/>
      <scheme val="minor"/>
    </font>
    <font>
      <sz val="11.0"/>
      <color theme="1"/>
      <name val="Calibri"/>
    </font>
    <font>
      <b/>
      <sz val="11.0"/>
      <color theme="1"/>
      <name val="Calibri"/>
    </font>
    <font>
      <b/>
      <sz val="18.0"/>
      <color theme="1"/>
      <name val="Calibri"/>
    </font>
    <font/>
    <font>
      <color theme="1"/>
      <name val="Calibri"/>
      <scheme val="minor"/>
    </font>
    <font>
      <b/>
      <sz val="11.0"/>
      <color rgb="FF000000"/>
      <name val="Calibri"/>
    </font>
    <font>
      <b/>
      <color theme="1"/>
      <name val="Calibri"/>
      <scheme val="minor"/>
    </font>
    <font>
      <sz val="11.0"/>
      <color rgb="FF000000"/>
      <name val="Calibri"/>
    </font>
    <font>
      <sz val="11.0"/>
      <color rgb="FFFF0000"/>
      <name val="Calibri"/>
    </font>
    <font>
      <sz val="9.0"/>
      <color theme="1"/>
      <name val="Arial"/>
    </font>
    <font>
      <b/>
      <u/>
      <sz val="10.0"/>
      <color rgb="FF000000"/>
      <name val="Calibri"/>
    </font>
    <font>
      <b/>
      <sz val="10.0"/>
      <color theme="1"/>
      <name val="Calibri"/>
    </font>
    <font>
      <strike/>
      <color theme="1"/>
      <name val="Calibri"/>
      <scheme val="minor"/>
    </font>
    <font>
      <strike/>
      <sz val="11.0"/>
      <color theme="1"/>
      <name val="Calibri"/>
    </font>
    <font>
      <u/>
      <sz val="11.0"/>
      <color theme="1"/>
      <name val="Calibri"/>
    </font>
    <font>
      <u/>
      <sz val="11.0"/>
      <color rgb="FF000000"/>
      <name val="Calibri"/>
    </font>
    <font>
      <sz val="11.0"/>
      <color rgb="FF4472C4"/>
      <name val="Calibri"/>
    </font>
    <font>
      <u/>
      <sz val="11.0"/>
      <color theme="1"/>
      <name val="Calibri"/>
    </font>
    <font>
      <color rgb="FFFF0000"/>
      <name val="Calibri"/>
      <scheme val="minor"/>
    </font>
    <font>
      <sz val="11.0"/>
      <color theme="10"/>
      <name val="Calibri"/>
    </font>
    <font>
      <sz val="11.0"/>
      <color rgb="FF38761D"/>
      <name val="Calibri"/>
    </font>
    <font>
      <sz val="11.0"/>
      <color theme="4"/>
      <name val="Calibri"/>
    </font>
    <font>
      <b/>
      <color rgb="FFFF0000"/>
      <name val="Calibri"/>
      <scheme val="minor"/>
    </font>
    <font>
      <color rgb="FF000000"/>
      <name val="Calibri"/>
      <scheme val="minor"/>
    </font>
    <font>
      <strike/>
      <sz val="11.0"/>
      <color rgb="FFFF0000"/>
      <name val="Calibri"/>
    </font>
  </fonts>
  <fills count="25">
    <fill>
      <patternFill patternType="none"/>
    </fill>
    <fill>
      <patternFill patternType="lightGray"/>
    </fill>
    <fill>
      <patternFill patternType="solid">
        <fgColor rgb="FFF2F2F2"/>
        <bgColor rgb="FFF2F2F2"/>
      </patternFill>
    </fill>
    <fill>
      <patternFill patternType="solid">
        <fgColor rgb="FFA5A5A5"/>
        <bgColor rgb="FFA5A5A5"/>
      </patternFill>
    </fill>
    <fill>
      <patternFill patternType="solid">
        <fgColor rgb="FFFEF2CB"/>
        <bgColor rgb="FFFEF2CB"/>
      </patternFill>
    </fill>
    <fill>
      <patternFill patternType="solid">
        <fgColor rgb="FFD9D2E9"/>
        <bgColor rgb="FFD9D2E9"/>
      </patternFill>
    </fill>
    <fill>
      <patternFill patternType="solid">
        <fgColor rgb="FFDEEAF6"/>
        <bgColor rgb="FFDEEAF6"/>
      </patternFill>
    </fill>
    <fill>
      <patternFill patternType="solid">
        <fgColor rgb="FFD9D9D9"/>
        <bgColor rgb="FFD9D9D9"/>
      </patternFill>
    </fill>
    <fill>
      <patternFill patternType="solid">
        <fgColor rgb="FFD9EAD3"/>
        <bgColor rgb="FFD9EAD3"/>
      </patternFill>
    </fill>
    <fill>
      <patternFill patternType="solid">
        <fgColor rgb="FFD9E2F3"/>
        <bgColor rgb="FFD9E2F3"/>
      </patternFill>
    </fill>
    <fill>
      <patternFill patternType="solid">
        <fgColor rgb="FFE2EFD9"/>
        <bgColor rgb="FFE2EFD9"/>
      </patternFill>
    </fill>
    <fill>
      <patternFill patternType="solid">
        <fgColor rgb="FFCFE2F3"/>
        <bgColor rgb="FFCFE2F3"/>
      </patternFill>
    </fill>
    <fill>
      <patternFill patternType="solid">
        <fgColor rgb="FFFFFFFF"/>
        <bgColor rgb="FFFFFFFF"/>
      </patternFill>
    </fill>
    <fill>
      <patternFill patternType="solid">
        <fgColor rgb="FFEDD7FA"/>
        <bgColor rgb="FFEDD7FA"/>
      </patternFill>
    </fill>
    <fill>
      <patternFill patternType="solid">
        <fgColor rgb="FFFAD9D9"/>
        <bgColor rgb="FFFAD9D9"/>
      </patternFill>
    </fill>
    <fill>
      <patternFill patternType="solid">
        <fgColor rgb="FFFBE4D5"/>
        <bgColor rgb="FFFBE4D5"/>
      </patternFill>
    </fill>
    <fill>
      <patternFill patternType="solid">
        <fgColor rgb="FFC8C8C8"/>
        <bgColor rgb="FFC8C8C8"/>
      </patternFill>
    </fill>
    <fill>
      <patternFill patternType="solid">
        <fgColor rgb="FFC9DAF8"/>
        <bgColor rgb="FFC9DAF8"/>
      </patternFill>
    </fill>
    <fill>
      <patternFill patternType="solid">
        <fgColor rgb="FF999999"/>
        <bgColor rgb="FF999999"/>
      </patternFill>
    </fill>
    <fill>
      <patternFill patternType="solid">
        <fgColor rgb="FFF4CCCC"/>
        <bgColor rgb="FFF4CCCC"/>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A4C2F4"/>
        <bgColor rgb="FFA4C2F4"/>
      </patternFill>
    </fill>
  </fills>
  <borders count="90">
    <border/>
    <border>
      <left style="thin">
        <color rgb="FFCCCCCC"/>
      </left>
      <right style="thin">
        <color rgb="FFCCCCCC"/>
      </right>
      <top style="thin">
        <color rgb="FF000000"/>
      </top>
      <bottom style="thick">
        <color rgb="FF000000"/>
      </bottom>
    </border>
    <border>
      <left style="thin">
        <color rgb="FF000000"/>
      </left>
      <right style="thin">
        <color rgb="FFCCCCCC"/>
      </right>
      <top style="thin">
        <color rgb="FF000000"/>
      </top>
      <bottom style="thick">
        <color rgb="FF000000"/>
      </bottom>
    </border>
    <border>
      <left style="thin">
        <color rgb="FFCCCCCC"/>
      </left>
      <top style="thin">
        <color rgb="FF000000"/>
      </top>
      <bottom style="thick">
        <color rgb="FF000000"/>
      </bottom>
    </border>
    <border>
      <top style="thin">
        <color rgb="FF000000"/>
      </top>
      <bottom style="thick">
        <color rgb="FF000000"/>
      </bottom>
    </border>
    <border>
      <right style="thin">
        <color rgb="FFCCCCCC"/>
      </right>
      <top style="thin">
        <color rgb="FF000000"/>
      </top>
      <bottom style="thick">
        <color rgb="FF000000"/>
      </bottom>
    </border>
    <border>
      <left style="thin">
        <color rgb="FFCCCCCC"/>
      </left>
      <right style="thin">
        <color rgb="FFCCCCCC"/>
      </right>
      <top style="thin">
        <color rgb="FF000000"/>
      </top>
      <bottom style="thin">
        <color rgb="FFCCCCCC"/>
      </bottom>
    </border>
    <border>
      <left style="thin">
        <color rgb="FFCCCCCC"/>
      </left>
      <right style="thin">
        <color rgb="FFCCCCCC"/>
      </right>
      <top style="thin">
        <color rgb="FFCCCCCC"/>
      </top>
      <bottom style="thin">
        <color rgb="FF000000"/>
      </bottom>
    </border>
    <border>
      <bottom style="thin">
        <color rgb="FF000000"/>
      </bottom>
    </border>
    <border>
      <left style="thin">
        <color rgb="FFCCCCCC"/>
      </left>
      <top style="thin">
        <color rgb="FFCCCCCC"/>
      </top>
      <bottom style="thin">
        <color rgb="FF000000"/>
      </bottom>
    </border>
    <border>
      <top style="thin">
        <color rgb="FFCCCCCC"/>
      </top>
      <bottom style="thin">
        <color rgb="FF000000"/>
      </bottom>
    </border>
    <border>
      <right style="thin">
        <color rgb="FFCCCCCC"/>
      </right>
      <top style="thin">
        <color rgb="FFCCCCCC"/>
      </top>
      <bottom style="thin">
        <color rgb="FF000000"/>
      </bottom>
    </border>
    <border>
      <left style="medium">
        <color rgb="FF000000"/>
      </left>
      <top style="medium">
        <color rgb="FF000000"/>
      </top>
      <bottom style="thin">
        <color rgb="FF000000"/>
      </bottom>
    </border>
    <border>
      <left style="thin">
        <color rgb="FFCCCCCC"/>
      </left>
      <right style="thin">
        <color rgb="FF000000"/>
      </right>
      <top style="thin">
        <color rgb="FF000000"/>
      </top>
      <bottom style="thin">
        <color rgb="FFCCCCCC"/>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ck">
        <color rgb="FF000000"/>
      </right>
      <top style="thin">
        <color rgb="FFCCCCCC"/>
      </top>
      <bottom style="thin">
        <color rgb="FFCCCCCC"/>
      </bottom>
    </border>
    <border>
      <left style="thin">
        <color rgb="FF000000"/>
      </left>
      <right style="medium">
        <color rgb="FF000000"/>
      </right>
    </border>
    <border>
      <left style="thin">
        <color rgb="FFCCCCCC"/>
      </left>
      <right style="thin">
        <color rgb="FF000000"/>
      </righ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CCCCCC"/>
      </left>
      <right style="thin">
        <color rgb="FFCCCCCC"/>
      </right>
    </border>
    <border>
      <left style="thin">
        <color rgb="FFCCCCCC"/>
      </left>
      <top style="thin">
        <color rgb="FFCCCCCC"/>
      </top>
      <bottom style="thin">
        <color rgb="FFCCCCCC"/>
      </bottom>
    </border>
    <border>
      <left style="medium">
        <color rgb="FF000000"/>
      </left>
      <right style="medium">
        <color rgb="FF000000"/>
      </right>
      <top style="medium">
        <color rgb="FF000000"/>
      </top>
      <bottom style="medium">
        <color rgb="FF000000"/>
      </bottom>
    </border>
    <border>
      <left style="thin">
        <color rgb="FFCCCCCC"/>
      </left>
      <right style="thin">
        <color rgb="FFCCCCCC"/>
      </right>
      <top style="thin">
        <color rgb="FFCCCCCC"/>
      </top>
      <bottom style="thick">
        <color rgb="FF000000"/>
      </bottom>
    </border>
    <border>
      <right style="medium">
        <color rgb="FF000000"/>
      </right>
      <top style="medium">
        <color rgb="FF000000"/>
      </top>
      <bottom style="medium">
        <color rgb="FF000000"/>
      </bottom>
    </border>
    <border>
      <left style="thin">
        <color rgb="FFCCCCCC"/>
      </left>
      <right style="thin">
        <color rgb="FFCCCCCC"/>
      </right>
      <bottom style="thick">
        <color rgb="FF000000"/>
      </bottom>
    </border>
    <border>
      <left style="thin">
        <color rgb="FFCCCCCC"/>
      </left>
      <right style="thin">
        <color rgb="FFD9D9D9"/>
      </right>
      <top style="thin">
        <color rgb="FFCCCCCC"/>
      </top>
      <bottom style="thin">
        <color rgb="FFCCCCCC"/>
      </bottom>
    </border>
    <border>
      <left style="thin">
        <color rgb="FFCCCCCC"/>
      </left>
      <right style="thin">
        <color rgb="FFD9D9D9"/>
      </right>
      <top style="thin">
        <color rgb="FFCCCCCC"/>
      </top>
      <bottom style="thin">
        <color rgb="FFD9D9D9"/>
      </bottom>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CCCCCC"/>
      </right>
      <top style="thin">
        <color rgb="FFCCCCCC"/>
      </top>
      <bottom style="thin">
        <color rgb="FF000000"/>
      </bottom>
    </border>
    <border>
      <right/>
      <top style="medium">
        <color rgb="FF000000"/>
      </top>
      <bottom style="thin">
        <color rgb="FF000000"/>
      </bottom>
    </border>
    <border>
      <left style="thin">
        <color rgb="FF000000"/>
      </left>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right style="medium">
        <color rgb="FF000000"/>
      </right>
    </border>
    <border>
      <left style="medium">
        <color rgb="FF000000"/>
      </left>
      <right style="thin">
        <color rgb="FF000000"/>
      </right>
      <top style="medium">
        <color rgb="FF000000"/>
      </top>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CCCCCC"/>
      </right>
      <top style="thin">
        <color rgb="FFCCCCCC"/>
      </top>
      <bottom style="thick">
        <color rgb="FF000000"/>
      </bottom>
    </border>
    <border>
      <left style="thin">
        <color rgb="FFCCCCCC"/>
      </left>
      <right style="thick">
        <color rgb="FF000000"/>
      </right>
      <top style="thin">
        <color rgb="FFCCCCCC"/>
      </top>
      <bottom style="thick">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border>
    <border>
      <left style="thin">
        <color rgb="FFCCCCCC"/>
      </left>
      <right style="thin">
        <color rgb="FFD9D9D9"/>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CCCCCC"/>
      </right>
      <bottom style="thin">
        <color rgb="FFCCCCCC"/>
      </bottom>
    </border>
    <border>
      <right style="thin">
        <color rgb="FFCCCCCC"/>
      </right>
      <bottom style="thin">
        <color rgb="FFCCCCCC"/>
      </bottom>
    </border>
    <border>
      <left style="thin">
        <color rgb="FFCCCCCC"/>
      </left>
      <right style="thin">
        <color rgb="FFD9D9D9"/>
      </right>
      <bottom style="thin">
        <color rgb="FFCCCCCC"/>
      </bottom>
    </border>
    <border>
      <left style="thin">
        <color rgb="FFCCCCCC"/>
      </left>
      <right style="thin">
        <color rgb="FFD9D9D9"/>
      </right>
      <bottom style="thin">
        <color rgb="FFD9D9D9"/>
      </bottom>
    </border>
    <border>
      <left style="thin">
        <color rgb="FFCCCCCC"/>
      </left>
      <right style="thin">
        <color rgb="FF000000"/>
      </right>
      <top style="thin">
        <color rgb="FF000000"/>
      </top>
      <bottom style="thick">
        <color rgb="FF000000"/>
      </bottom>
    </border>
    <border>
      <left style="thin">
        <color rgb="FF000000"/>
      </left>
      <right style="thin">
        <color rgb="FFCCCCCC"/>
      </right>
      <top style="thin">
        <color rgb="FFCCCCCC"/>
      </top>
    </border>
    <border>
      <right style="thin">
        <color rgb="FFCCCCCC"/>
      </right>
      <top style="thin">
        <color rgb="FFCCCCCC"/>
      </top>
    </border>
    <border>
      <left style="medium">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medium">
        <color rgb="FF000000"/>
      </right>
      <top style="thin">
        <color rgb="FF000000"/>
      </top>
      <bottom style="thin">
        <color rgb="FF000000"/>
      </bottom>
    </border>
    <border>
      <left style="thin">
        <color rgb="FFCCCCCC"/>
      </left>
      <right/>
      <top style="thin">
        <color rgb="FFCCCCCC"/>
      </top>
      <bottom style="thin">
        <color rgb="FFCCCCCC"/>
      </bottom>
    </border>
    <border>
      <left style="medium">
        <color rgb="FF000000"/>
      </left>
      <right style="thin">
        <color rgb="FF000000"/>
      </right>
      <bottom style="medium">
        <color rgb="FF000000"/>
      </bottom>
    </border>
    <border>
      <top style="thin">
        <color rgb="FF000000"/>
      </top>
      <bottom style="medium">
        <color rgb="FF000000"/>
      </bottom>
    </border>
    <border>
      <lef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CCCCCC"/>
      </left>
      <right style="thin">
        <color rgb="FF000000"/>
      </right>
      <top style="thin">
        <color rgb="FFCCCCCC"/>
      </top>
      <bottom style="thick">
        <color rgb="FF000000"/>
      </bottom>
    </border>
    <border>
      <left style="thin">
        <color rgb="FFCCCCCC"/>
      </left>
      <right style="thin">
        <color rgb="FFCCCCCC"/>
      </right>
      <top style="thin">
        <color rgb="FFCCCCCC"/>
      </top>
    </border>
    <border>
      <right/>
      <top style="thin">
        <color rgb="FF000000"/>
      </top>
      <bottom style="thin">
        <color rgb="FF000000"/>
      </bottom>
    </border>
    <border>
      <left/>
      <right/>
      <top/>
      <bottom/>
    </border>
    <border>
      <left style="thick">
        <color rgb="FF000000"/>
      </left>
      <right style="thin">
        <color rgb="FF000000"/>
      </right>
      <top style="thin">
        <color rgb="FF000000"/>
      </top>
    </border>
    <border>
      <left style="thin">
        <color rgb="FF000000"/>
      </left>
      <right/>
      <top style="thin">
        <color rgb="FFCCCCCC"/>
      </top>
      <bottom style="thin">
        <color rgb="FFCCCCCC"/>
      </bottom>
    </border>
    <border>
      <left style="thick">
        <color rgb="FF000000"/>
      </left>
      <right style="thin">
        <color rgb="FF000000"/>
      </right>
      <top style="thin">
        <color rgb="FF000000"/>
      </top>
      <bottom style="medium">
        <color rgb="FF000000"/>
      </bottom>
    </border>
    <border>
      <left style="thin">
        <color rgb="FFCCCCCC"/>
      </left>
      <top style="thin">
        <color rgb="FFCCCCCC"/>
      </top>
      <bottom style="thin">
        <color rgb="FFD9D9D9"/>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right style="thin">
        <color rgb="FF000000"/>
      </right>
    </border>
    <border>
      <left style="thin">
        <color rgb="FFCCCCCC"/>
      </left>
      <right style="thin">
        <color rgb="FF000000"/>
      </right>
      <top style="thin">
        <color rgb="FFCCCCCC"/>
      </top>
      <bottom style="thin">
        <color rgb="FFD9D9D9"/>
      </bottom>
    </border>
    <border>
      <top style="thin">
        <color rgb="FFCCCCCC"/>
      </top>
      <bottom style="thin">
        <color rgb="FFCCCCCC"/>
      </bottom>
    </border>
    <border>
      <top style="thin">
        <color rgb="FFCCCCCC"/>
      </top>
    </border>
    <border>
      <left style="thin">
        <color rgb="FFCCCCCC"/>
      </left>
      <top style="thin">
        <color rgb="FFCCCCCC"/>
      </top>
    </border>
    <border>
      <left style="thin">
        <color rgb="FF000000"/>
      </left>
      <right style="thin">
        <color rgb="FFCCCCCC"/>
      </right>
      <top style="thin">
        <color rgb="FF000000"/>
      </top>
      <bottom style="thin">
        <color rgb="FFCCCCCC"/>
      </bottom>
    </border>
    <border>
      <left style="thin">
        <color rgb="FF000000"/>
      </left>
      <right style="thin">
        <color rgb="FFB7B7B7"/>
      </right>
      <top style="thin">
        <color rgb="FFCCCCCC"/>
      </top>
      <bottom style="thin">
        <color rgb="FFB7B7B7"/>
      </bottom>
    </border>
    <border>
      <left style="thin">
        <color rgb="FFCCCCCC"/>
      </left>
      <right style="thin">
        <color rgb="FFB7B7B7"/>
      </right>
      <top style="thin">
        <color rgb="FFCCCCCC"/>
      </top>
      <bottom style="thin">
        <color rgb="FFB7B7B7"/>
      </bottom>
    </border>
    <border>
      <left/>
      <top/>
      <bottom/>
    </border>
    <border>
      <left style="thin">
        <color rgb="FFCCCCCC"/>
      </left>
      <right/>
      <bottom style="thin">
        <color rgb="FFCCCCCC"/>
      </bottom>
    </border>
    <border>
      <left/>
      <right style="thin">
        <color rgb="FF000000"/>
      </right>
      <top/>
      <bottom/>
    </border>
    <border>
      <left style="thin">
        <color rgb="FFCCCCCC"/>
      </left>
      <right style="thin">
        <color rgb="FFCCCCCC"/>
      </right>
      <top style="thin">
        <color rgb="FFCCCCCC"/>
      </top>
      <bottom style="thin">
        <color rgb="FFD9D9D9"/>
      </bottom>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1" fillId="0" fontId="1" numFmtId="0" xfId="0" applyAlignment="1" applyBorder="1" applyFont="1">
      <alignment horizontal="center" readingOrder="1"/>
    </xf>
    <xf borderId="2" fillId="0" fontId="1" numFmtId="0" xfId="0" applyAlignment="1" applyBorder="1" applyFont="1">
      <alignment horizontal="left" readingOrder="1"/>
    </xf>
    <xf borderId="0" fillId="0" fontId="2" numFmtId="0" xfId="0" applyAlignment="1" applyFont="1">
      <alignment vertical="bottom"/>
    </xf>
    <xf borderId="3" fillId="2" fontId="3" numFmtId="0" xfId="0" applyAlignment="1" applyBorder="1" applyFill="1" applyFont="1">
      <alignment horizontal="center" readingOrder="1"/>
    </xf>
    <xf borderId="1" fillId="0" fontId="1" numFmtId="0" xfId="0" applyAlignment="1" applyBorder="1" applyFont="1">
      <alignment horizontal="left" readingOrder="1"/>
    </xf>
    <xf borderId="4" fillId="0" fontId="4" numFmtId="0" xfId="0" applyBorder="1" applyFont="1"/>
    <xf borderId="0" fillId="0" fontId="5" numFmtId="0" xfId="0" applyAlignment="1" applyFont="1">
      <alignment readingOrder="0"/>
    </xf>
    <xf borderId="5" fillId="0" fontId="4" numFmtId="0" xfId="0" applyBorder="1" applyFont="1"/>
    <xf borderId="1" fillId="3" fontId="1" numFmtId="0" xfId="0" applyAlignment="1" applyBorder="1" applyFill="1" applyFont="1">
      <alignment horizontal="center" readingOrder="1"/>
    </xf>
    <xf borderId="0" fillId="0" fontId="1" numFmtId="0" xfId="0" applyAlignment="1" applyFont="1">
      <alignment vertical="bottom"/>
    </xf>
    <xf borderId="3" fillId="4" fontId="3" numFmtId="0" xfId="0" applyAlignment="1" applyBorder="1" applyFill="1" applyFont="1">
      <alignment horizontal="center" readingOrder="1"/>
    </xf>
    <xf borderId="0" fillId="0" fontId="3" numFmtId="0" xfId="0" applyAlignment="1" applyFont="1">
      <alignment horizontal="left" readingOrder="1"/>
    </xf>
    <xf borderId="0" fillId="0" fontId="1" numFmtId="0" xfId="0" applyAlignment="1" applyFont="1">
      <alignment readingOrder="0" vertical="bottom"/>
    </xf>
    <xf borderId="0" fillId="0" fontId="1" numFmtId="0" xfId="0" applyAlignment="1" applyFont="1">
      <alignment horizontal="left" readingOrder="1"/>
    </xf>
    <xf borderId="6" fillId="0" fontId="1" numFmtId="0" xfId="0" applyAlignment="1" applyBorder="1" applyFont="1">
      <alignment horizontal="left" readingOrder="1"/>
    </xf>
    <xf borderId="7" fillId="0" fontId="1" numFmtId="0" xfId="0" applyAlignment="1" applyBorder="1" applyFont="1">
      <alignment horizontal="center" readingOrder="1"/>
    </xf>
    <xf borderId="8" fillId="5" fontId="5" numFmtId="0" xfId="0" applyAlignment="1" applyBorder="1" applyFill="1" applyFont="1">
      <alignment horizontal="center" readingOrder="0"/>
    </xf>
    <xf borderId="8" fillId="0" fontId="4" numFmtId="0" xfId="0" applyBorder="1" applyFont="1"/>
    <xf borderId="9" fillId="6" fontId="1" numFmtId="0" xfId="0" applyAlignment="1" applyBorder="1" applyFill="1" applyFont="1">
      <alignment horizontal="center" readingOrder="1"/>
    </xf>
    <xf borderId="10" fillId="0" fontId="4" numFmtId="0" xfId="0" applyBorder="1" applyFont="1"/>
    <xf borderId="11" fillId="0" fontId="4" numFmtId="0" xfId="0" applyBorder="1" applyFont="1"/>
    <xf borderId="12" fillId="7" fontId="6" numFmtId="0" xfId="0" applyAlignment="1" applyBorder="1" applyFill="1" applyFont="1">
      <alignment horizontal="center" readingOrder="0"/>
    </xf>
    <xf borderId="13" fillId="0" fontId="1" numFmtId="0" xfId="0" applyAlignment="1" applyBorder="1" applyFont="1">
      <alignment horizontal="left" readingOrder="1"/>
    </xf>
    <xf borderId="0" fillId="0" fontId="1" numFmtId="0" xfId="0" applyAlignment="1" applyFont="1">
      <alignment vertical="bottom"/>
    </xf>
    <xf borderId="7" fillId="2" fontId="1" numFmtId="0" xfId="0" applyAlignment="1" applyBorder="1" applyFill="1" applyFont="1">
      <alignment horizontal="center" readingOrder="1"/>
    </xf>
    <xf borderId="14" fillId="0" fontId="4" numFmtId="0" xfId="0" applyBorder="1" applyFont="1"/>
    <xf borderId="0" fillId="0" fontId="2" numFmtId="0" xfId="0" applyAlignment="1" applyFont="1">
      <alignment vertical="bottom"/>
    </xf>
    <xf borderId="15" fillId="0" fontId="4" numFmtId="0" xfId="0" applyBorder="1" applyFont="1"/>
    <xf borderId="12" fillId="4" fontId="6" numFmtId="0" xfId="0" applyAlignment="1" applyBorder="1" applyFill="1" applyFont="1">
      <alignment horizontal="center" readingOrder="0"/>
    </xf>
    <xf borderId="12" fillId="8" fontId="6" numFmtId="0" xfId="0" applyAlignment="1" applyBorder="1" applyFill="1" applyFont="1">
      <alignment horizontal="center" readingOrder="0"/>
    </xf>
    <xf borderId="12" fillId="9" fontId="6" numFmtId="0" xfId="0" applyAlignment="1" applyBorder="1" applyFill="1" applyFont="1">
      <alignment horizontal="center" readingOrder="0"/>
    </xf>
    <xf borderId="16" fillId="7" fontId="1" numFmtId="0" xfId="0" applyAlignment="1" applyBorder="1" applyFill="1" applyFont="1">
      <alignment horizontal="center"/>
    </xf>
    <xf borderId="17" fillId="0" fontId="1" numFmtId="0" xfId="0" applyAlignment="1" applyBorder="1" applyFont="1">
      <alignment horizontal="left" readingOrder="1"/>
    </xf>
    <xf borderId="18" fillId="3" fontId="1" numFmtId="0" xfId="0" applyAlignment="1" applyBorder="1" applyFill="1" applyFont="1">
      <alignment horizontal="center" readingOrder="1"/>
    </xf>
    <xf borderId="19" fillId="0" fontId="1" numFmtId="16" xfId="0" applyAlignment="1" applyBorder="1" applyFont="1" applyNumberFormat="1">
      <alignment horizontal="left" readingOrder="1"/>
    </xf>
    <xf borderId="0" fillId="0" fontId="7" numFmtId="0" xfId="0" applyAlignment="1" applyFont="1">
      <alignment readingOrder="0"/>
    </xf>
    <xf borderId="18" fillId="0" fontId="1" numFmtId="0" xfId="0" applyAlignment="1" applyBorder="1" applyFont="1">
      <alignment horizontal="center" readingOrder="1"/>
    </xf>
    <xf borderId="18" fillId="0" fontId="1" numFmtId="0" xfId="0" applyAlignment="1" applyBorder="1" applyFont="1">
      <alignment horizontal="left" readingOrder="1"/>
    </xf>
    <xf borderId="9" fillId="2" fontId="1" numFmtId="0" xfId="0" applyAlignment="1" applyBorder="1" applyFill="1" applyFont="1">
      <alignment horizontal="center" readingOrder="1"/>
    </xf>
    <xf borderId="18" fillId="10" fontId="1" numFmtId="0" xfId="0" applyAlignment="1" applyBorder="1" applyFill="1" applyFont="1">
      <alignment horizontal="left" readingOrder="1"/>
    </xf>
    <xf borderId="0" fillId="7" fontId="1" numFmtId="0" xfId="0" applyAlignment="1" applyFill="1" applyFont="1">
      <alignment horizontal="center"/>
    </xf>
    <xf borderId="17" fillId="0" fontId="1" numFmtId="0" xfId="0" applyAlignment="1" applyBorder="1" applyFont="1">
      <alignment horizontal="center" readingOrder="1" shrinkToFit="0" wrapText="1"/>
    </xf>
    <xf borderId="18" fillId="0" fontId="1" numFmtId="0" xfId="0" applyAlignment="1" applyBorder="1" applyFont="1">
      <alignment horizontal="left" readingOrder="1"/>
    </xf>
    <xf borderId="20" fillId="7" fontId="1" numFmtId="0" xfId="0" applyAlignment="1" applyBorder="1" applyFill="1" applyFont="1">
      <alignment horizontal="center"/>
    </xf>
    <xf borderId="16" fillId="0" fontId="1" numFmtId="0" xfId="0" applyAlignment="1" applyBorder="1" applyFont="1">
      <alignment horizontal="center"/>
    </xf>
    <xf borderId="0" fillId="0" fontId="1" numFmtId="0" xfId="0" applyAlignment="1" applyFont="1">
      <alignment horizontal="center"/>
    </xf>
    <xf borderId="0" fillId="0" fontId="8" numFmtId="0" xfId="0" applyFont="1"/>
    <xf borderId="21" fillId="0" fontId="1" numFmtId="0" xfId="0" applyAlignment="1" applyBorder="1" applyFont="1">
      <alignment horizontal="left" readingOrder="1"/>
    </xf>
    <xf borderId="0" fillId="0" fontId="8" numFmtId="0" xfId="0" applyAlignment="1" applyFont="1">
      <alignment readingOrder="0"/>
    </xf>
    <xf borderId="22" fillId="0" fontId="1" numFmtId="0" xfId="0" applyAlignment="1" applyBorder="1" applyFont="1">
      <alignment horizontal="center" readingOrder="1" shrinkToFit="0" wrapText="1"/>
    </xf>
    <xf borderId="20" fillId="0" fontId="1" numFmtId="0" xfId="0" applyAlignment="1" applyBorder="1" applyFont="1">
      <alignment horizontal="center"/>
    </xf>
    <xf borderId="0" fillId="0" fontId="1" numFmtId="0" xfId="0" applyAlignment="1" applyFont="1">
      <alignment shrinkToFit="0" wrapText="1"/>
    </xf>
    <xf borderId="23" fillId="0" fontId="1" numFmtId="0" xfId="0" applyAlignment="1" applyBorder="1" applyFont="1">
      <alignment horizontal="center" readingOrder="1" shrinkToFit="0" wrapText="1"/>
    </xf>
    <xf borderId="0" fillId="0" fontId="5" numFmtId="0" xfId="0" applyAlignment="1" applyFont="1">
      <alignment horizontal="center" readingOrder="0"/>
    </xf>
    <xf borderId="0" fillId="0" fontId="5" numFmtId="164" xfId="0" applyAlignment="1" applyFont="1" applyNumberFormat="1">
      <alignment readingOrder="0"/>
    </xf>
    <xf borderId="18" fillId="0" fontId="1" numFmtId="0" xfId="0" applyAlignment="1" applyBorder="1" applyFont="1">
      <alignment horizontal="center" readingOrder="1" shrinkToFit="0" wrapText="1"/>
    </xf>
    <xf borderId="24" fillId="0" fontId="1" numFmtId="0" xfId="0" applyAlignment="1" applyBorder="1" applyFont="1">
      <alignment horizontal="center" readingOrder="1" shrinkToFit="0" wrapText="1"/>
    </xf>
    <xf borderId="24" fillId="0" fontId="1" numFmtId="0" xfId="0" applyAlignment="1" applyBorder="1" applyFont="1">
      <alignment horizontal="center" readingOrder="1" shrinkToFit="0" wrapText="1"/>
    </xf>
    <xf borderId="18" fillId="0" fontId="1" numFmtId="0" xfId="0" applyAlignment="1" applyBorder="1" applyFont="1">
      <alignment horizontal="center" readingOrder="1" shrinkToFit="0" wrapText="1"/>
    </xf>
    <xf borderId="18" fillId="11" fontId="1" numFmtId="0" xfId="0" applyAlignment="1" applyBorder="1" applyFill="1" applyFont="1">
      <alignment horizontal="left" readingOrder="1"/>
    </xf>
    <xf borderId="17" fillId="0" fontId="1" numFmtId="0" xfId="0" applyAlignment="1" applyBorder="1" applyFont="1">
      <alignment horizontal="center" readingOrder="1"/>
    </xf>
    <xf borderId="0" fillId="0" fontId="5" numFmtId="0" xfId="0" applyAlignment="1" applyFont="1">
      <alignment horizontal="center"/>
    </xf>
    <xf borderId="25" fillId="0" fontId="1" numFmtId="0" xfId="0" applyAlignment="1" applyBorder="1" applyFont="1">
      <alignment horizontal="center" readingOrder="1" shrinkToFit="0" wrapText="1"/>
    </xf>
    <xf borderId="25" fillId="0" fontId="1" numFmtId="0" xfId="0" applyAlignment="1" applyBorder="1" applyFont="1">
      <alignment horizontal="center" readingOrder="1" shrinkToFit="0" wrapText="1"/>
    </xf>
    <xf borderId="22" fillId="0" fontId="8" numFmtId="0" xfId="0" applyAlignment="1" applyBorder="1" applyFont="1">
      <alignment horizontal="center" readingOrder="1" shrinkToFit="0" wrapText="1"/>
    </xf>
    <xf borderId="18" fillId="0" fontId="8" numFmtId="0" xfId="0" applyAlignment="1" applyBorder="1" applyFont="1">
      <alignment horizontal="center" readingOrder="1" shrinkToFit="0" wrapText="1"/>
    </xf>
    <xf quotePrefix="1" borderId="18" fillId="0" fontId="1" numFmtId="0" xfId="0" applyAlignment="1" applyBorder="1" applyFont="1">
      <alignment horizontal="center" readingOrder="1" shrinkToFit="0" wrapText="1"/>
    </xf>
    <xf borderId="26" fillId="0" fontId="1" numFmtId="0" xfId="0" applyAlignment="1" applyBorder="1" applyFont="1">
      <alignment horizontal="center" readingOrder="0" vertical="center"/>
    </xf>
    <xf borderId="27" fillId="0" fontId="1" numFmtId="0" xfId="0" applyAlignment="1" applyBorder="1" applyFont="1">
      <alignment horizontal="center" readingOrder="1" shrinkToFit="0" wrapText="1"/>
    </xf>
    <xf borderId="0" fillId="0" fontId="5" numFmtId="0" xfId="0" applyAlignment="1" applyFont="1">
      <alignment readingOrder="0" shrinkToFit="0" wrapText="1"/>
    </xf>
    <xf borderId="18" fillId="0" fontId="9" numFmtId="0" xfId="0" applyAlignment="1" applyBorder="1" applyFont="1">
      <alignment horizontal="left" readingOrder="1"/>
    </xf>
    <xf borderId="28" fillId="0" fontId="1" numFmtId="0" xfId="0" applyBorder="1" applyFont="1"/>
    <xf borderId="27" fillId="0" fontId="1" numFmtId="0" xfId="0" applyAlignment="1" applyBorder="1" applyFont="1">
      <alignment horizontal="center" readingOrder="1" shrinkToFit="0" wrapText="1"/>
    </xf>
    <xf borderId="29" fillId="0" fontId="1" numFmtId="0" xfId="0" applyAlignment="1" applyBorder="1" applyFont="1">
      <alignment horizontal="center" readingOrder="1"/>
    </xf>
    <xf borderId="29" fillId="0" fontId="1" numFmtId="0" xfId="0" applyAlignment="1" applyBorder="1" applyFont="1">
      <alignment horizontal="center" readingOrder="1"/>
    </xf>
    <xf borderId="27" fillId="3" fontId="1" numFmtId="0" xfId="0" applyAlignment="1" applyBorder="1" applyFill="1" applyFont="1">
      <alignment horizontal="center" readingOrder="1"/>
    </xf>
    <xf borderId="19" fillId="12" fontId="10" numFmtId="0" xfId="0" applyAlignment="1" applyBorder="1" applyFill="1" applyFont="1">
      <alignment horizontal="left" readingOrder="1"/>
    </xf>
    <xf borderId="27" fillId="0" fontId="1" numFmtId="0" xfId="0" applyAlignment="1" applyBorder="1" applyFont="1">
      <alignment horizontal="center" readingOrder="1"/>
    </xf>
    <xf quotePrefix="1" borderId="27" fillId="0" fontId="1" numFmtId="0" xfId="0" applyAlignment="1" applyBorder="1" applyFont="1">
      <alignment horizontal="center" readingOrder="1" shrinkToFit="0" wrapText="1"/>
    </xf>
    <xf borderId="22" fillId="0" fontId="1" numFmtId="0" xfId="0" applyAlignment="1" applyBorder="1" applyFont="1">
      <alignment horizontal="center" readingOrder="1"/>
    </xf>
    <xf borderId="18" fillId="0" fontId="1" numFmtId="2" xfId="0" applyAlignment="1" applyBorder="1" applyFont="1" applyNumberFormat="1">
      <alignment horizontal="center" readingOrder="1" shrinkToFit="0" wrapText="1"/>
    </xf>
    <xf borderId="18" fillId="0" fontId="1" numFmtId="165" xfId="0" applyAlignment="1" applyBorder="1" applyFont="1" applyNumberFormat="1">
      <alignment horizontal="center" readingOrder="1" shrinkToFit="0" wrapText="1"/>
    </xf>
    <xf borderId="18" fillId="0" fontId="1" numFmtId="166" xfId="0" applyAlignment="1" applyBorder="1" applyFont="1" applyNumberFormat="1">
      <alignment horizontal="center" readingOrder="1" shrinkToFit="0" wrapText="1"/>
    </xf>
    <xf borderId="30" fillId="0" fontId="1" numFmtId="0" xfId="0" applyAlignment="1" applyBorder="1" applyFont="1">
      <alignment horizontal="center" readingOrder="1" shrinkToFit="0" wrapText="1"/>
    </xf>
    <xf borderId="31" fillId="0" fontId="1" numFmtId="0" xfId="0" applyAlignment="1" applyBorder="1" applyFont="1">
      <alignment horizontal="center" readingOrder="1" shrinkToFit="0" wrapText="1"/>
    </xf>
    <xf borderId="32" fillId="7" fontId="8" numFmtId="0" xfId="0" applyAlignment="1" applyBorder="1" applyFill="1" applyFont="1">
      <alignment readingOrder="0" shrinkToFit="0" wrapText="1"/>
    </xf>
    <xf borderId="0" fillId="0" fontId="11" numFmtId="0" xfId="0" applyAlignment="1" applyFont="1">
      <alignment horizontal="left" readingOrder="1"/>
    </xf>
    <xf borderId="33" fillId="7" fontId="1" numFmtId="0" xfId="0" applyAlignment="1" applyBorder="1" applyFill="1" applyFont="1">
      <alignment readingOrder="0" shrinkToFit="0" wrapText="1"/>
    </xf>
    <xf borderId="34" fillId="7" fontId="1" numFmtId="0" xfId="0" applyAlignment="1" applyBorder="1" applyFill="1" applyFont="1">
      <alignment readingOrder="0" shrinkToFit="0" wrapText="1"/>
    </xf>
    <xf borderId="18" fillId="13" fontId="1" numFmtId="0" xfId="0" applyAlignment="1" applyBorder="1" applyFill="1" applyFont="1">
      <alignment horizontal="left" readingOrder="1"/>
    </xf>
    <xf borderId="34" fillId="7" fontId="1" numFmtId="0" xfId="0" applyAlignment="1" applyBorder="1" applyFill="1" applyFont="1">
      <alignment shrinkToFit="0" wrapText="1"/>
    </xf>
    <xf borderId="32" fillId="0" fontId="8" numFmtId="0" xfId="0" applyAlignment="1" applyBorder="1" applyFont="1">
      <alignment readingOrder="0" shrinkToFit="0" wrapText="1"/>
    </xf>
    <xf borderId="35" fillId="0" fontId="1" numFmtId="0" xfId="0" applyAlignment="1" applyBorder="1" applyFont="1">
      <alignment horizontal="center" readingOrder="1"/>
    </xf>
    <xf borderId="11" fillId="0" fontId="1" numFmtId="0" xfId="0" applyAlignment="1" applyBorder="1" applyFont="1">
      <alignment horizontal="center" readingOrder="1"/>
    </xf>
    <xf borderId="7" fillId="0" fontId="1" numFmtId="0" xfId="0" applyAlignment="1" applyBorder="1" applyFont="1">
      <alignment horizontal="center" readingOrder="1" shrinkToFit="0" wrapText="1"/>
    </xf>
    <xf borderId="33" fillId="0" fontId="1" numFmtId="0" xfId="0" applyAlignment="1" applyBorder="1" applyFont="1">
      <alignment readingOrder="0" shrinkToFit="0" wrapText="1"/>
    </xf>
    <xf borderId="34" fillId="0" fontId="1" numFmtId="0" xfId="0" applyAlignment="1" applyBorder="1" applyFont="1">
      <alignment readingOrder="0" shrinkToFit="0" wrapText="1"/>
    </xf>
    <xf borderId="0" fillId="0" fontId="1" numFmtId="0" xfId="0" applyAlignment="1" applyFont="1">
      <alignment horizontal="center" vertical="center"/>
    </xf>
    <xf borderId="12" fillId="14" fontId="6" numFmtId="0" xfId="0" applyAlignment="1" applyBorder="1" applyFill="1" applyFont="1">
      <alignment horizontal="center" readingOrder="0"/>
    </xf>
    <xf borderId="36" fillId="0" fontId="4" numFmtId="0" xfId="0" applyBorder="1" applyFont="1"/>
    <xf borderId="12" fillId="15" fontId="6" numFmtId="0" xfId="0" applyAlignment="1" applyBorder="1" applyFill="1" applyFont="1">
      <alignment horizontal="center" readingOrder="0"/>
    </xf>
    <xf borderId="37" fillId="0" fontId="1" numFmtId="0" xfId="0" applyAlignment="1" applyBorder="1" applyFont="1">
      <alignment horizontal="center"/>
    </xf>
    <xf borderId="38" fillId="0" fontId="1" numFmtId="0" xfId="0" applyAlignment="1" applyBorder="1" applyFont="1">
      <alignment horizontal="center"/>
    </xf>
    <xf borderId="39" fillId="0" fontId="1" numFmtId="0" xfId="0" applyAlignment="1" applyBorder="1" applyFont="1">
      <alignment horizontal="center"/>
    </xf>
    <xf borderId="40" fillId="0" fontId="1" numFmtId="0" xfId="0" applyAlignment="1" applyBorder="1" applyFont="1">
      <alignment horizontal="center"/>
    </xf>
    <xf borderId="41" fillId="0" fontId="1" numFmtId="0" xfId="0" applyAlignment="1" applyBorder="1" applyFont="1">
      <alignment horizontal="center" vertical="center"/>
    </xf>
    <xf borderId="42" fillId="0" fontId="1" numFmtId="0" xfId="0" applyBorder="1" applyFont="1"/>
    <xf borderId="43" fillId="0" fontId="8" numFmtId="0" xfId="0" applyAlignment="1" applyBorder="1" applyFont="1">
      <alignment readingOrder="0"/>
    </xf>
    <xf borderId="39" fillId="0" fontId="8" numFmtId="0" xfId="0" applyAlignment="1" applyBorder="1" applyFont="1">
      <alignment readingOrder="0"/>
    </xf>
    <xf borderId="44" fillId="0" fontId="1" numFmtId="0" xfId="0" applyAlignment="1" applyBorder="1" applyFont="1">
      <alignment horizontal="left" readingOrder="1"/>
    </xf>
    <xf borderId="45" fillId="0" fontId="1" numFmtId="0" xfId="0" applyAlignment="1" applyBorder="1" applyFont="1">
      <alignment horizontal="left" readingOrder="1"/>
    </xf>
    <xf borderId="18" fillId="15" fontId="1" numFmtId="0" xfId="0" applyAlignment="1" applyBorder="1" applyFill="1" applyFont="1">
      <alignment horizontal="left" readingOrder="1"/>
    </xf>
    <xf borderId="0" fillId="0" fontId="8" numFmtId="0" xfId="0" applyAlignment="1" applyFont="1">
      <alignment readingOrder="0" shrinkToFit="0" wrapText="1"/>
    </xf>
    <xf borderId="0" fillId="0" fontId="8" numFmtId="0" xfId="0" applyAlignment="1" applyFont="1">
      <alignment shrinkToFit="0" wrapText="1"/>
    </xf>
    <xf borderId="0" fillId="0" fontId="1" numFmtId="16" xfId="0" applyAlignment="1" applyFont="1" applyNumberFormat="1">
      <alignment readingOrder="0"/>
    </xf>
    <xf borderId="0" fillId="0" fontId="5" numFmtId="167" xfId="0" applyAlignment="1" applyFont="1" applyNumberFormat="1">
      <alignment readingOrder="0"/>
    </xf>
    <xf borderId="0" fillId="0" fontId="1" numFmtId="0" xfId="0" applyAlignment="1" applyFont="1">
      <alignment readingOrder="0" shrinkToFit="0" wrapText="1"/>
    </xf>
    <xf borderId="8" fillId="0" fontId="5" numFmtId="0" xfId="0" applyAlignment="1" applyBorder="1" applyFont="1">
      <alignment horizontal="center" readingOrder="0"/>
    </xf>
    <xf borderId="18" fillId="4" fontId="1" numFmtId="0" xfId="0" applyAlignment="1" applyBorder="1" applyFill="1" applyFont="1">
      <alignment horizontal="left" readingOrder="1"/>
    </xf>
    <xf borderId="46" fillId="16" fontId="1" numFmtId="0" xfId="0" applyBorder="1" applyFill="1" applyFont="1"/>
    <xf borderId="0" fillId="0" fontId="5" numFmtId="20" xfId="0" applyAlignment="1" applyFont="1" applyNumberFormat="1">
      <alignment readingOrder="0"/>
    </xf>
    <xf borderId="38" fillId="0" fontId="1" numFmtId="0" xfId="0" applyAlignment="1" applyBorder="1" applyFont="1">
      <alignment readingOrder="0"/>
    </xf>
    <xf borderId="7" fillId="0" fontId="1" numFmtId="2" xfId="0" applyAlignment="1" applyBorder="1" applyFont="1" applyNumberFormat="1">
      <alignment horizontal="center" readingOrder="1" shrinkToFit="0" wrapText="1"/>
    </xf>
    <xf borderId="7" fillId="3" fontId="1" numFmtId="0" xfId="0" applyAlignment="1" applyBorder="1" applyFill="1" applyFont="1">
      <alignment horizontal="center" readingOrder="1"/>
    </xf>
    <xf borderId="46" fillId="16" fontId="1" numFmtId="0" xfId="0" applyAlignment="1" applyBorder="1" applyFill="1" applyFont="1">
      <alignment readingOrder="0"/>
    </xf>
    <xf borderId="7" fillId="0" fontId="1" numFmtId="165" xfId="0" applyAlignment="1" applyBorder="1" applyFont="1" applyNumberFormat="1">
      <alignment horizontal="center" readingOrder="1" shrinkToFit="0" wrapText="1"/>
    </xf>
    <xf borderId="47" fillId="16" fontId="1" numFmtId="0" xfId="0" applyBorder="1" applyFill="1" applyFont="1"/>
    <xf borderId="7" fillId="0" fontId="1" numFmtId="166" xfId="0" applyAlignment="1" applyBorder="1" applyFont="1" applyNumberFormat="1">
      <alignment horizontal="center" readingOrder="1" shrinkToFit="0" wrapText="1"/>
    </xf>
    <xf borderId="48" fillId="0" fontId="4" numFmtId="0" xfId="0" applyBorder="1" applyFont="1"/>
    <xf borderId="49" fillId="0" fontId="1" numFmtId="0" xfId="0" applyAlignment="1" applyBorder="1" applyFont="1">
      <alignment horizontal="center" readingOrder="1" shrinkToFit="0" wrapText="1"/>
    </xf>
    <xf borderId="35" fillId="0" fontId="1" numFmtId="0" xfId="0" applyAlignment="1" applyBorder="1" applyFont="1">
      <alignment horizontal="left" readingOrder="1"/>
    </xf>
    <xf borderId="7" fillId="0" fontId="1" numFmtId="0" xfId="0" applyAlignment="1" applyBorder="1" applyFont="1">
      <alignment horizontal="left" readingOrder="1" shrinkToFit="0" wrapText="1"/>
    </xf>
    <xf borderId="50" fillId="0" fontId="1" numFmtId="0" xfId="0" applyAlignment="1" applyBorder="1" applyFont="1">
      <alignment horizontal="left" readingOrder="1"/>
    </xf>
    <xf borderId="7" fillId="0" fontId="1" numFmtId="18" xfId="0" applyAlignment="1" applyBorder="1" applyFont="1" applyNumberFormat="1">
      <alignment horizontal="left" readingOrder="1"/>
    </xf>
    <xf borderId="7" fillId="0" fontId="1" numFmtId="0" xfId="0" applyAlignment="1" applyBorder="1" applyFont="1">
      <alignment horizontal="left" readingOrder="1"/>
    </xf>
    <xf borderId="51" fillId="0" fontId="1" numFmtId="0" xfId="0" applyAlignment="1" applyBorder="1" applyFont="1">
      <alignment horizontal="center" readingOrder="1"/>
    </xf>
    <xf borderId="52" fillId="0" fontId="1" numFmtId="0" xfId="0" applyAlignment="1" applyBorder="1" applyFont="1">
      <alignment horizontal="center" readingOrder="1"/>
    </xf>
    <xf borderId="23" fillId="0" fontId="1" numFmtId="2" xfId="0" applyAlignment="1" applyBorder="1" applyFont="1" applyNumberFormat="1">
      <alignment horizontal="center" readingOrder="1" shrinkToFit="0" wrapText="1"/>
    </xf>
    <xf borderId="23" fillId="0" fontId="1" numFmtId="0" xfId="0" applyAlignment="1" applyBorder="1" applyFont="1">
      <alignment horizontal="center" readingOrder="1" shrinkToFit="0" wrapText="1"/>
    </xf>
    <xf borderId="23" fillId="3" fontId="1" numFmtId="0" xfId="0" applyAlignment="1" applyBorder="1" applyFill="1" applyFont="1">
      <alignment horizontal="center" readingOrder="1"/>
    </xf>
    <xf borderId="23" fillId="0" fontId="1" numFmtId="165" xfId="0" applyAlignment="1" applyBorder="1" applyFont="1" applyNumberFormat="1">
      <alignment horizontal="center" readingOrder="1" shrinkToFit="0" wrapText="1"/>
    </xf>
    <xf borderId="23" fillId="0" fontId="1" numFmtId="0" xfId="0" applyAlignment="1" applyBorder="1" applyFont="1">
      <alignment horizontal="center" readingOrder="1"/>
    </xf>
    <xf borderId="23" fillId="0" fontId="1" numFmtId="166" xfId="0" applyAlignment="1" applyBorder="1" applyFont="1" applyNumberFormat="1">
      <alignment horizontal="center" readingOrder="1" shrinkToFit="0" wrapText="1"/>
    </xf>
    <xf borderId="53" fillId="0" fontId="1" numFmtId="0" xfId="0" applyAlignment="1" applyBorder="1" applyFont="1">
      <alignment horizontal="center" readingOrder="1" shrinkToFit="0" wrapText="1"/>
    </xf>
    <xf borderId="54" fillId="0" fontId="1" numFmtId="0" xfId="0" applyAlignment="1" applyBorder="1" applyFont="1">
      <alignment horizontal="center" readingOrder="1" shrinkToFit="0" wrapText="1"/>
    </xf>
    <xf borderId="0" fillId="0" fontId="12" numFmtId="0" xfId="0" applyAlignment="1" applyFont="1">
      <alignment horizontal="left" readingOrder="1"/>
    </xf>
    <xf borderId="0" fillId="0" fontId="3" numFmtId="0" xfId="0" applyAlignment="1" applyFont="1">
      <alignment horizontal="left" readingOrder="1"/>
    </xf>
    <xf borderId="0" fillId="0" fontId="5" numFmtId="168" xfId="0" applyAlignment="1" applyFont="1" applyNumberFormat="1">
      <alignment readingOrder="0"/>
    </xf>
    <xf borderId="0" fillId="8" fontId="1" numFmtId="0" xfId="0" applyAlignment="1" applyFill="1" applyFont="1">
      <alignment readingOrder="0" shrinkToFit="0" wrapText="1"/>
    </xf>
    <xf borderId="1" fillId="3" fontId="1" numFmtId="0" xfId="0" applyAlignment="1" applyBorder="1" applyFill="1" applyFont="1">
      <alignment horizontal="left" readingOrder="1"/>
    </xf>
    <xf borderId="1" fillId="12" fontId="3" numFmtId="0" xfId="0" applyAlignment="1" applyBorder="1" applyFill="1" applyFont="1">
      <alignment horizontal="left" readingOrder="1"/>
    </xf>
    <xf borderId="1" fillId="0" fontId="3" numFmtId="0" xfId="0" applyAlignment="1" applyBorder="1" applyFont="1">
      <alignment horizontal="left" readingOrder="1"/>
    </xf>
    <xf borderId="55" fillId="0" fontId="1" numFmtId="0" xfId="0" applyAlignment="1" applyBorder="1" applyFont="1">
      <alignment horizontal="left" readingOrder="1"/>
    </xf>
    <xf borderId="18" fillId="3" fontId="1" numFmtId="0" xfId="0" applyAlignment="1" applyBorder="1" applyFill="1" applyFont="1">
      <alignment horizontal="left" readingOrder="1"/>
    </xf>
    <xf borderId="56" fillId="0" fontId="1" numFmtId="0" xfId="0" applyAlignment="1" applyBorder="1" applyFont="1">
      <alignment horizontal="center" readingOrder="1" shrinkToFit="0" wrapText="1"/>
    </xf>
    <xf borderId="57" fillId="0" fontId="1" numFmtId="0" xfId="0" applyAlignment="1" applyBorder="1" applyFont="1">
      <alignment horizontal="center" readingOrder="1" shrinkToFit="0" wrapText="1"/>
    </xf>
    <xf borderId="0" fillId="0" fontId="13" numFmtId="0" xfId="0" applyAlignment="1" applyFont="1">
      <alignment readingOrder="0"/>
    </xf>
    <xf borderId="0" fillId="0" fontId="14" numFmtId="0" xfId="0" applyAlignment="1" applyFont="1">
      <alignment readingOrder="0" shrinkToFit="0" wrapText="1"/>
    </xf>
    <xf borderId="18" fillId="0" fontId="15" numFmtId="0" xfId="0" applyAlignment="1" applyBorder="1" applyFont="1">
      <alignment horizontal="left" readingOrder="1" shrinkToFit="0" wrapText="1"/>
    </xf>
    <xf borderId="18" fillId="0" fontId="16" numFmtId="0" xfId="0" applyAlignment="1" applyBorder="1" applyFont="1">
      <alignment horizontal="left" readingOrder="1" shrinkToFit="0" wrapText="1"/>
    </xf>
    <xf borderId="18" fillId="0" fontId="1" numFmtId="0" xfId="0" applyAlignment="1" applyBorder="1" applyFont="1">
      <alignment horizontal="left" readingOrder="1" shrinkToFit="0" wrapText="1"/>
    </xf>
    <xf borderId="0" fillId="8" fontId="5" numFmtId="0" xfId="0" applyAlignment="1" applyFill="1" applyFont="1">
      <alignment readingOrder="0"/>
    </xf>
    <xf borderId="0" fillId="0" fontId="1" numFmtId="0" xfId="0" applyAlignment="1" applyFont="1">
      <alignment horizontal="center" readingOrder="1"/>
    </xf>
    <xf borderId="22" fillId="0" fontId="1" numFmtId="0" xfId="0" applyAlignment="1" applyBorder="1" applyFont="1">
      <alignment horizontal="center" readingOrder="1" shrinkToFit="0" wrapText="1"/>
    </xf>
    <xf borderId="8" fillId="0" fontId="1" numFmtId="0" xfId="0" applyAlignment="1" applyBorder="1" applyFont="1">
      <alignment readingOrder="0"/>
    </xf>
    <xf borderId="18" fillId="0" fontId="1" numFmtId="18" xfId="0" applyAlignment="1" applyBorder="1" applyFont="1" applyNumberFormat="1">
      <alignment horizontal="left" readingOrder="1"/>
    </xf>
    <xf borderId="58" fillId="0" fontId="1" numFmtId="0" xfId="0" applyAlignment="1" applyBorder="1" applyFont="1">
      <alignment readingOrder="0"/>
    </xf>
    <xf borderId="59" fillId="0" fontId="1" numFmtId="0" xfId="0" applyAlignment="1" applyBorder="1" applyFont="1">
      <alignment readingOrder="0"/>
    </xf>
    <xf borderId="60" fillId="0" fontId="1" numFmtId="0" xfId="0" applyBorder="1" applyFont="1"/>
    <xf borderId="17" fillId="0" fontId="1" numFmtId="0" xfId="0" applyAlignment="1" applyBorder="1" applyFont="1">
      <alignment horizontal="right" readingOrder="1"/>
    </xf>
    <xf borderId="61" fillId="0" fontId="1" numFmtId="0" xfId="0" applyBorder="1" applyFont="1"/>
    <xf borderId="21" fillId="0" fontId="1" numFmtId="0" xfId="0" applyAlignment="1" applyBorder="1" applyFont="1">
      <alignment horizontal="left" readingOrder="1"/>
    </xf>
    <xf borderId="18" fillId="17" fontId="1" numFmtId="0" xfId="0" applyAlignment="1" applyBorder="1" applyFill="1" applyFont="1">
      <alignment horizontal="left" readingOrder="1"/>
    </xf>
    <xf borderId="58" fillId="0" fontId="1" numFmtId="0" xfId="0" applyBorder="1" applyFont="1"/>
    <xf borderId="21" fillId="17" fontId="1" numFmtId="0" xfId="0" applyAlignment="1" applyBorder="1" applyFill="1" applyFont="1">
      <alignment horizontal="left" readingOrder="1"/>
    </xf>
    <xf borderId="60" fillId="0" fontId="1" numFmtId="0" xfId="0" applyAlignment="1" applyBorder="1" applyFont="1">
      <alignment readingOrder="0"/>
    </xf>
    <xf borderId="0" fillId="15" fontId="5" numFmtId="0" xfId="0" applyFill="1" applyFont="1"/>
    <xf borderId="59" fillId="0" fontId="1" numFmtId="0" xfId="0" applyBorder="1" applyFont="1"/>
    <xf borderId="62" fillId="13" fontId="1" numFmtId="0" xfId="0" applyAlignment="1" applyBorder="1" applyFill="1" applyFont="1">
      <alignment horizontal="left" readingOrder="1"/>
    </xf>
    <xf borderId="0" fillId="13" fontId="5" numFmtId="0" xfId="0" applyFill="1" applyFont="1"/>
    <xf borderId="63" fillId="0" fontId="4" numFmtId="0" xfId="0" applyBorder="1" applyFont="1"/>
    <xf borderId="64" fillId="0" fontId="1" numFmtId="0" xfId="0" applyBorder="1" applyFont="1"/>
    <xf borderId="33" fillId="0" fontId="1" numFmtId="0" xfId="0" applyAlignment="1" applyBorder="1" applyFont="1">
      <alignment shrinkToFit="0" wrapText="1"/>
    </xf>
    <xf borderId="64" fillId="0" fontId="1" numFmtId="0" xfId="0" applyAlignment="1" applyBorder="1" applyFont="1">
      <alignment readingOrder="0" shrinkToFit="0" wrapText="1"/>
    </xf>
    <xf borderId="41" fillId="0" fontId="1" numFmtId="0" xfId="0" applyAlignment="1" applyBorder="1" applyFont="1">
      <alignment horizontal="center" readingOrder="0" vertical="center"/>
    </xf>
    <xf borderId="18" fillId="0" fontId="1" numFmtId="0" xfId="0" applyAlignment="1" applyBorder="1" applyFont="1">
      <alignment horizontal="left" readingOrder="1" shrinkToFit="0" wrapText="1"/>
    </xf>
    <xf borderId="0" fillId="0" fontId="17" numFmtId="0" xfId="0" applyFont="1"/>
    <xf borderId="21" fillId="0" fontId="1" numFmtId="0" xfId="0" applyAlignment="1" applyBorder="1" applyFont="1">
      <alignment horizontal="left" readingOrder="1" shrinkToFit="0" wrapText="1"/>
    </xf>
    <xf borderId="65" fillId="16" fontId="1" numFmtId="0" xfId="0" applyBorder="1" applyFill="1" applyFont="1"/>
    <xf borderId="66" fillId="0" fontId="8" numFmtId="0" xfId="0" applyAlignment="1" applyBorder="1" applyFont="1">
      <alignment readingOrder="0"/>
    </xf>
    <xf borderId="39" fillId="0" fontId="1" numFmtId="0" xfId="0" applyAlignment="1" applyBorder="1" applyFont="1">
      <alignment readingOrder="0"/>
    </xf>
    <xf borderId="27" fillId="3" fontId="1" numFmtId="0" xfId="0" applyAlignment="1" applyBorder="1" applyFill="1" applyFont="1">
      <alignment horizontal="left" readingOrder="1"/>
    </xf>
    <xf borderId="27" fillId="0" fontId="1" numFmtId="0" xfId="0" applyAlignment="1" applyBorder="1" applyFont="1">
      <alignment horizontal="left" readingOrder="1"/>
    </xf>
    <xf borderId="27" fillId="0" fontId="1" numFmtId="0" xfId="0" applyAlignment="1" applyBorder="1" applyFont="1">
      <alignment horizontal="left" readingOrder="1" shrinkToFit="0" wrapText="1"/>
    </xf>
    <xf borderId="67" fillId="0" fontId="1" numFmtId="0" xfId="0" applyAlignment="1" applyBorder="1" applyFont="1">
      <alignment horizontal="left" readingOrder="1"/>
    </xf>
    <xf borderId="17" fillId="0" fontId="1" numFmtId="0" xfId="0" applyAlignment="1" applyBorder="1" applyFont="1">
      <alignment horizontal="center" readingOrder="1"/>
    </xf>
    <xf borderId="68" fillId="0" fontId="18" numFmtId="0" xfId="0" applyAlignment="1" applyBorder="1" applyFont="1">
      <alignment horizontal="left" readingOrder="1"/>
    </xf>
    <xf borderId="68" fillId="0" fontId="1" numFmtId="0" xfId="0" applyAlignment="1" applyBorder="1" applyFont="1">
      <alignment horizontal="left" readingOrder="1"/>
    </xf>
    <xf borderId="25" fillId="0" fontId="1" numFmtId="0" xfId="0" applyAlignment="1" applyBorder="1" applyFont="1">
      <alignment horizontal="left" readingOrder="1"/>
    </xf>
    <xf borderId="22" fillId="0" fontId="1" numFmtId="0" xfId="0" applyAlignment="1" applyBorder="1" applyFont="1">
      <alignment horizontal="left" readingOrder="1"/>
    </xf>
    <xf borderId="0" fillId="0" fontId="8" numFmtId="0" xfId="0" applyAlignment="1" applyFont="1">
      <alignment horizontal="center" shrinkToFit="0" vertical="bottom" wrapText="0"/>
    </xf>
    <xf borderId="0" fillId="0" fontId="5" numFmtId="169" xfId="0" applyAlignment="1" applyFont="1" applyNumberFormat="1">
      <alignment readingOrder="0"/>
    </xf>
    <xf borderId="18" fillId="18" fontId="1" numFmtId="0" xfId="0" applyAlignment="1" applyBorder="1" applyFill="1" applyFont="1">
      <alignment horizontal="left" readingOrder="1"/>
    </xf>
    <xf borderId="69" fillId="16" fontId="1" numFmtId="0" xfId="0" applyAlignment="1" applyBorder="1" applyFill="1" applyFont="1">
      <alignment readingOrder="0"/>
    </xf>
    <xf borderId="0" fillId="0" fontId="8" numFmtId="0" xfId="0" applyAlignment="1" applyFont="1">
      <alignment horizontal="right" shrinkToFit="0" wrapText="0"/>
    </xf>
    <xf borderId="39" fillId="0" fontId="8" numFmtId="0" xfId="0" applyAlignment="1" applyBorder="1" applyFont="1">
      <alignment readingOrder="0"/>
    </xf>
    <xf borderId="70" fillId="13" fontId="1" numFmtId="0" xfId="0" applyBorder="1" applyFill="1" applyFont="1"/>
    <xf borderId="0" fillId="0" fontId="8" numFmtId="0" xfId="0" applyAlignment="1" applyFont="1">
      <alignment horizontal="center" readingOrder="0" shrinkToFit="0" wrapText="0"/>
    </xf>
    <xf borderId="71" fillId="0" fontId="1" numFmtId="0" xfId="0" applyAlignment="1" applyBorder="1" applyFont="1">
      <alignment readingOrder="0"/>
    </xf>
    <xf borderId="7" fillId="0" fontId="1" numFmtId="0" xfId="0" applyAlignment="1" applyBorder="1" applyFont="1">
      <alignment horizontal="center" readingOrder="1" shrinkToFit="0" wrapText="1"/>
    </xf>
    <xf borderId="0" fillId="19" fontId="1" numFmtId="0" xfId="0" applyAlignment="1" applyFill="1" applyFont="1">
      <alignment readingOrder="0" vertical="bottom"/>
    </xf>
    <xf borderId="0" fillId="19" fontId="5" numFmtId="0" xfId="0" applyAlignment="1" applyFill="1" applyFont="1">
      <alignment readingOrder="0"/>
    </xf>
    <xf borderId="18" fillId="0" fontId="2" numFmtId="0" xfId="0" applyAlignment="1" applyBorder="1" applyFont="1">
      <alignment horizontal="left" readingOrder="1"/>
    </xf>
    <xf borderId="7" fillId="3" fontId="1" numFmtId="0" xfId="0" applyAlignment="1" applyBorder="1" applyFill="1" applyFont="1">
      <alignment horizontal="left" readingOrder="1"/>
    </xf>
    <xf borderId="0" fillId="19" fontId="1" numFmtId="0" xfId="0" applyAlignment="1" applyFill="1" applyFont="1">
      <alignment vertical="bottom"/>
    </xf>
    <xf borderId="17" fillId="0" fontId="1" numFmtId="0" xfId="0" applyAlignment="1" applyBorder="1" applyFont="1">
      <alignment horizontal="left" readingOrder="1"/>
    </xf>
    <xf borderId="71" fillId="0" fontId="1" numFmtId="0" xfId="0" applyBorder="1" applyFont="1"/>
    <xf borderId="18" fillId="15" fontId="1" numFmtId="0" xfId="0" applyAlignment="1" applyBorder="1" applyFill="1" applyFont="1">
      <alignment horizontal="left" readingOrder="1"/>
    </xf>
    <xf borderId="39" fillId="0" fontId="1" numFmtId="0" xfId="0" applyBorder="1" applyFont="1"/>
    <xf borderId="25" fillId="0" fontId="1" numFmtId="0" xfId="0" applyAlignment="1" applyBorder="1" applyFont="1">
      <alignment horizontal="left" readingOrder="1"/>
    </xf>
    <xf borderId="0" fillId="0" fontId="8" numFmtId="0" xfId="0" applyAlignment="1" applyFont="1">
      <alignment horizontal="center" readingOrder="0" shrinkToFit="0" vertical="bottom" wrapText="0"/>
    </xf>
    <xf borderId="72" fillId="13" fontId="1" numFmtId="0" xfId="0" applyAlignment="1" applyBorder="1" applyFill="1" applyFont="1">
      <alignment readingOrder="0"/>
    </xf>
    <xf borderId="0" fillId="0" fontId="5" numFmtId="170" xfId="0" applyAlignment="1" applyFont="1" applyNumberFormat="1">
      <alignment readingOrder="0"/>
    </xf>
    <xf borderId="32" fillId="0" fontId="1" numFmtId="0" xfId="0" applyAlignment="1" applyBorder="1" applyFont="1">
      <alignment readingOrder="0" shrinkToFit="0" wrapText="1"/>
    </xf>
    <xf borderId="64" fillId="0" fontId="1" numFmtId="0" xfId="0" applyAlignment="1" applyBorder="1" applyFont="1">
      <alignment shrinkToFit="0" wrapText="1"/>
    </xf>
    <xf borderId="73" fillId="0" fontId="1" numFmtId="0" xfId="0" applyAlignment="1" applyBorder="1" applyFont="1">
      <alignment shrinkToFit="0" wrapText="1"/>
    </xf>
    <xf borderId="39" fillId="0" fontId="1" numFmtId="0" xfId="0" applyAlignment="1" applyBorder="1" applyFont="1">
      <alignment readingOrder="0" shrinkToFit="0" wrapText="1"/>
    </xf>
    <xf borderId="23" fillId="3" fontId="1" numFmtId="0" xfId="0" applyAlignment="1" applyBorder="1" applyFill="1" applyFont="1">
      <alignment horizontal="left" readingOrder="1"/>
    </xf>
    <xf borderId="34" fillId="0" fontId="1" numFmtId="0" xfId="0" applyAlignment="1" applyBorder="1" applyFont="1">
      <alignment shrinkToFit="0" wrapText="1"/>
    </xf>
    <xf borderId="18" fillId="9" fontId="1" numFmtId="0" xfId="0" applyAlignment="1" applyBorder="1" applyFill="1" applyFont="1">
      <alignment horizontal="left" readingOrder="1"/>
    </xf>
    <xf borderId="0" fillId="0" fontId="19" numFmtId="0" xfId="0" applyAlignment="1" applyFont="1">
      <alignment readingOrder="0"/>
    </xf>
    <xf borderId="18" fillId="9" fontId="1" numFmtId="0" xfId="0" applyAlignment="1" applyBorder="1" applyFill="1" applyFont="1">
      <alignment horizontal="left" readingOrder="1"/>
    </xf>
    <xf borderId="22" fillId="0" fontId="1" numFmtId="0" xfId="0" applyAlignment="1" applyBorder="1" applyFont="1">
      <alignment horizontal="left" readingOrder="1"/>
    </xf>
    <xf borderId="74" fillId="0" fontId="1" numFmtId="0" xfId="0" applyAlignment="1" applyBorder="1" applyFont="1">
      <alignment horizontal="left" readingOrder="1"/>
    </xf>
    <xf borderId="70" fillId="0" fontId="1" numFmtId="0" xfId="0" applyBorder="1" applyFont="1"/>
    <xf borderId="25" fillId="0" fontId="20" numFmtId="0" xfId="0" applyAlignment="1" applyBorder="1" applyFont="1">
      <alignment horizontal="left" readingOrder="1"/>
    </xf>
    <xf borderId="0" fillId="5" fontId="5" numFmtId="0" xfId="0" applyAlignment="1" applyFill="1" applyFont="1">
      <alignment readingOrder="0"/>
    </xf>
    <xf borderId="0" fillId="0" fontId="1" numFmtId="167" xfId="0" applyAlignment="1" applyFont="1" applyNumberFormat="1">
      <alignment horizontal="right" readingOrder="0" vertical="bottom"/>
    </xf>
    <xf borderId="0" fillId="5" fontId="1" numFmtId="0" xfId="0" applyAlignment="1" applyFill="1" applyFont="1">
      <alignment readingOrder="0" vertical="bottom"/>
    </xf>
    <xf borderId="0" fillId="0" fontId="1" numFmtId="0" xfId="0" applyAlignment="1" applyFont="1">
      <alignment horizontal="right" readingOrder="0" vertical="bottom"/>
    </xf>
    <xf borderId="72" fillId="15" fontId="1" numFmtId="0" xfId="0" applyAlignment="1" applyBorder="1" applyFill="1" applyFont="1">
      <alignment readingOrder="0"/>
    </xf>
    <xf borderId="61" fillId="16" fontId="1" numFmtId="0" xfId="0" applyBorder="1" applyFill="1" applyFont="1"/>
    <xf borderId="0" fillId="0" fontId="1" numFmtId="0" xfId="0" applyAlignment="1" applyFont="1">
      <alignment horizontal="center" vertical="bottom"/>
    </xf>
    <xf borderId="0" fillId="19" fontId="5" numFmtId="0" xfId="0" applyFill="1" applyFont="1"/>
    <xf borderId="0" fillId="0" fontId="1" numFmtId="0" xfId="0" applyAlignment="1" applyFont="1">
      <alignment horizontal="left" readingOrder="1"/>
    </xf>
    <xf borderId="75" fillId="16" fontId="1" numFmtId="0" xfId="0" applyBorder="1" applyFill="1" applyFont="1"/>
    <xf borderId="76" fillId="0" fontId="1" numFmtId="0" xfId="0" applyBorder="1" applyFont="1"/>
    <xf borderId="22" fillId="6" fontId="1" numFmtId="0" xfId="0" applyAlignment="1" applyBorder="1" applyFill="1" applyFont="1">
      <alignment horizontal="left" readingOrder="1"/>
    </xf>
    <xf borderId="18" fillId="6" fontId="1" numFmtId="0" xfId="0" applyAlignment="1" applyBorder="1" applyFill="1" applyFont="1">
      <alignment horizontal="left" readingOrder="1"/>
    </xf>
    <xf borderId="0" fillId="0" fontId="9" numFmtId="0" xfId="0" applyFont="1"/>
    <xf borderId="76" fillId="0" fontId="1" numFmtId="0" xfId="0" applyAlignment="1" applyBorder="1" applyFont="1">
      <alignment readingOrder="0"/>
    </xf>
    <xf borderId="64" fillId="0" fontId="21" numFmtId="0" xfId="0" applyAlignment="1" applyBorder="1" applyFont="1">
      <alignment readingOrder="0" shrinkToFit="0" wrapText="1"/>
    </xf>
    <xf borderId="0" fillId="0" fontId="5" numFmtId="0" xfId="0" applyFont="1"/>
    <xf borderId="77" fillId="0" fontId="21" numFmtId="0" xfId="0" applyAlignment="1" applyBorder="1" applyFont="1">
      <alignment readingOrder="0" shrinkToFit="0" wrapText="1"/>
    </xf>
    <xf borderId="37" fillId="7" fontId="1" numFmtId="0" xfId="0" applyAlignment="1" applyBorder="1" applyFill="1" applyFont="1">
      <alignment horizontal="center"/>
    </xf>
    <xf borderId="18" fillId="0" fontId="22" numFmtId="0" xfId="0" applyAlignment="1" applyBorder="1" applyFont="1">
      <alignment horizontal="left" readingOrder="1"/>
    </xf>
    <xf borderId="0" fillId="0" fontId="13" numFmtId="167" xfId="0" applyAlignment="1" applyFont="1" applyNumberFormat="1">
      <alignment readingOrder="0"/>
    </xf>
    <xf borderId="38" fillId="7" fontId="1" numFmtId="0" xfId="0" applyAlignment="1" applyBorder="1" applyFill="1" applyFont="1">
      <alignment horizontal="center"/>
    </xf>
    <xf borderId="39" fillId="7" fontId="1" numFmtId="0" xfId="0" applyAlignment="1" applyBorder="1" applyFill="1" applyFont="1">
      <alignment horizontal="center"/>
    </xf>
    <xf borderId="40" fillId="7" fontId="1" numFmtId="0" xfId="0" applyAlignment="1" applyBorder="1" applyFill="1" applyFont="1">
      <alignment horizontal="center"/>
    </xf>
    <xf borderId="43" fillId="7" fontId="8" numFmtId="0" xfId="0" applyAlignment="1" applyBorder="1" applyFill="1" applyFont="1">
      <alignment readingOrder="0"/>
    </xf>
    <xf borderId="39" fillId="7" fontId="8" numFmtId="0" xfId="0" applyBorder="1" applyFill="1" applyFont="1"/>
    <xf borderId="46" fillId="7" fontId="1" numFmtId="0" xfId="0" applyBorder="1" applyFill="1" applyFont="1"/>
    <xf borderId="38" fillId="7" fontId="1" numFmtId="0" xfId="0" applyAlignment="1" applyBorder="1" applyFill="1" applyFont="1">
      <alignment readingOrder="0"/>
    </xf>
    <xf borderId="39" fillId="7" fontId="8" numFmtId="0" xfId="0" applyAlignment="1" applyBorder="1" applyFill="1" applyFont="1">
      <alignment readingOrder="0"/>
    </xf>
    <xf borderId="46" fillId="7" fontId="1" numFmtId="0" xfId="0" applyAlignment="1" applyBorder="1" applyFill="1" applyFont="1">
      <alignment readingOrder="0"/>
    </xf>
    <xf borderId="78" fillId="0" fontId="5" numFmtId="0" xfId="0" applyBorder="1" applyFont="1"/>
    <xf borderId="31" fillId="0" fontId="1" numFmtId="0" xfId="0" applyAlignment="1" applyBorder="1" applyFont="1">
      <alignment horizontal="left" readingOrder="1"/>
    </xf>
    <xf borderId="0" fillId="0" fontId="13" numFmtId="0" xfId="0" applyFont="1"/>
    <xf borderId="47" fillId="7" fontId="1" numFmtId="0" xfId="0" applyBorder="1" applyFill="1" applyFont="1"/>
    <xf borderId="0" fillId="0" fontId="14" numFmtId="0" xfId="0" applyAlignment="1" applyFont="1">
      <alignment shrinkToFit="0" wrapText="1"/>
    </xf>
    <xf borderId="78" fillId="0" fontId="1" numFmtId="0" xfId="0" applyBorder="1" applyFont="1"/>
    <xf borderId="79" fillId="0" fontId="1" numFmtId="0" xfId="0" applyAlignment="1" applyBorder="1" applyFont="1">
      <alignment horizontal="left" readingOrder="1"/>
    </xf>
    <xf borderId="23" fillId="0" fontId="1" numFmtId="0" xfId="0" applyAlignment="1" applyBorder="1" applyFont="1">
      <alignment horizontal="center" readingOrder="1"/>
    </xf>
    <xf borderId="17" fillId="0" fontId="1" numFmtId="16" xfId="0" applyAlignment="1" applyBorder="1" applyFont="1" applyNumberFormat="1">
      <alignment horizontal="left" readingOrder="1"/>
    </xf>
    <xf borderId="58" fillId="7" fontId="1" numFmtId="0" xfId="0" applyAlignment="1" applyBorder="1" applyFill="1" applyFont="1">
      <alignment readingOrder="0"/>
    </xf>
    <xf borderId="39" fillId="7" fontId="1" numFmtId="0" xfId="0" applyAlignment="1" applyBorder="1" applyFill="1" applyFont="1">
      <alignment readingOrder="0"/>
    </xf>
    <xf borderId="80" fillId="0" fontId="1" numFmtId="0" xfId="0" applyAlignment="1" applyBorder="1" applyFont="1">
      <alignment horizontal="left" readingOrder="1"/>
    </xf>
    <xf borderId="60" fillId="7" fontId="1" numFmtId="0" xfId="0" applyBorder="1" applyFill="1" applyFont="1"/>
    <xf borderId="81" fillId="0" fontId="1" numFmtId="0" xfId="0" applyAlignment="1" applyBorder="1" applyFont="1">
      <alignment horizontal="left" readingOrder="1"/>
    </xf>
    <xf borderId="59" fillId="7" fontId="1" numFmtId="0" xfId="0" applyAlignment="1" applyBorder="1" applyFill="1" applyFont="1">
      <alignment readingOrder="0"/>
    </xf>
    <xf borderId="18" fillId="0" fontId="1" numFmtId="0" xfId="0" applyAlignment="1" applyBorder="1" applyFont="1">
      <alignment horizontal="center" readingOrder="1"/>
    </xf>
    <xf borderId="61" fillId="7" fontId="1" numFmtId="0" xfId="0" applyBorder="1" applyFill="1" applyFont="1"/>
    <xf borderId="58" fillId="7" fontId="1" numFmtId="0" xfId="0" applyBorder="1" applyFill="1" applyFont="1"/>
    <xf borderId="39" fillId="7" fontId="1" numFmtId="0" xfId="0" applyBorder="1" applyFill="1" applyFont="1"/>
    <xf borderId="60" fillId="7" fontId="1" numFmtId="0" xfId="0" applyAlignment="1" applyBorder="1" applyFill="1" applyFont="1">
      <alignment readingOrder="0"/>
    </xf>
    <xf borderId="59" fillId="7" fontId="1" numFmtId="0" xfId="0" applyBorder="1" applyFill="1" applyFont="1"/>
    <xf borderId="64" fillId="7" fontId="21" numFmtId="0" xfId="0" applyAlignment="1" applyBorder="1" applyFill="1" applyFont="1">
      <alignment readingOrder="0" shrinkToFit="0" wrapText="1"/>
    </xf>
    <xf borderId="33" fillId="7" fontId="1" numFmtId="0" xfId="0" applyAlignment="1" applyBorder="1" applyFill="1" applyFont="1">
      <alignment shrinkToFit="0" wrapText="1"/>
    </xf>
    <xf borderId="64" fillId="7" fontId="1" numFmtId="0" xfId="0" applyAlignment="1" applyBorder="1" applyFill="1" applyFont="1">
      <alignment shrinkToFit="0" wrapText="1"/>
    </xf>
    <xf borderId="32" fillId="7" fontId="1" numFmtId="0" xfId="0" applyAlignment="1" applyBorder="1" applyFill="1" applyFont="1">
      <alignment readingOrder="0" shrinkToFit="0" wrapText="1"/>
    </xf>
    <xf borderId="72" fillId="0" fontId="1" numFmtId="0" xfId="0" applyAlignment="1" applyBorder="1" applyFont="1">
      <alignment readingOrder="0"/>
    </xf>
    <xf borderId="82" fillId="0" fontId="1" numFmtId="0" xfId="0" applyAlignment="1" applyBorder="1" applyFont="1">
      <alignment horizontal="left" readingOrder="1"/>
    </xf>
    <xf borderId="0" fillId="15" fontId="5" numFmtId="0" xfId="0" applyAlignment="1" applyFill="1" applyFont="1">
      <alignment readingOrder="0"/>
    </xf>
    <xf borderId="18" fillId="0" fontId="17" numFmtId="0" xfId="0" applyAlignment="1" applyBorder="1" applyFont="1">
      <alignment horizontal="left" readingOrder="1"/>
    </xf>
    <xf borderId="1" fillId="12" fontId="1" numFmtId="0" xfId="0" applyAlignment="1" applyBorder="1" applyFill="1" applyFont="1">
      <alignment horizontal="left" readingOrder="1"/>
    </xf>
    <xf borderId="0" fillId="20" fontId="5" numFmtId="0" xfId="0" applyAlignment="1" applyFill="1" applyFont="1">
      <alignment readingOrder="0"/>
    </xf>
    <xf borderId="0" fillId="0" fontId="1" numFmtId="0" xfId="0" applyAlignment="1" applyFont="1">
      <alignment shrinkToFit="0" vertical="bottom" wrapText="1"/>
    </xf>
    <xf borderId="0" fillId="13" fontId="5" numFmtId="0" xfId="0" applyAlignment="1" applyFill="1" applyFont="1">
      <alignment readingOrder="0"/>
    </xf>
    <xf borderId="70" fillId="0" fontId="1" numFmtId="0" xfId="0" applyAlignment="1" applyBorder="1" applyFont="1">
      <alignment horizontal="left" readingOrder="1"/>
    </xf>
    <xf borderId="22" fillId="9" fontId="1" numFmtId="0" xfId="0" applyAlignment="1" applyBorder="1" applyFill="1" applyFont="1">
      <alignment horizontal="left" readingOrder="1"/>
    </xf>
    <xf borderId="61" fillId="0" fontId="1" numFmtId="0" xfId="0" applyAlignment="1" applyBorder="1" applyFont="1">
      <alignment readingOrder="0"/>
    </xf>
    <xf borderId="39" fillId="0" fontId="8" numFmtId="0" xfId="0" applyBorder="1" applyFont="1"/>
    <xf borderId="22" fillId="0" fontId="3" numFmtId="0" xfId="0" applyAlignment="1" applyBorder="1" applyFont="1">
      <alignment horizontal="left" readingOrder="1"/>
    </xf>
    <xf borderId="83" fillId="0" fontId="1" numFmtId="0" xfId="0" applyAlignment="1" applyBorder="1" applyFont="1">
      <alignment horizontal="left" readingOrder="1"/>
    </xf>
    <xf borderId="1" fillId="2" fontId="3" numFmtId="0" xfId="0" applyAlignment="1" applyBorder="1" applyFill="1" applyFont="1">
      <alignment horizontal="left" readingOrder="1"/>
    </xf>
    <xf borderId="1" fillId="2" fontId="1" numFmtId="0" xfId="0" applyAlignment="1" applyBorder="1" applyFill="1" applyFont="1">
      <alignment horizontal="left" readingOrder="1"/>
    </xf>
    <xf borderId="7" fillId="2" fontId="1" numFmtId="0" xfId="0" applyAlignment="1" applyBorder="1" applyFill="1" applyFont="1">
      <alignment horizontal="left" readingOrder="1"/>
    </xf>
    <xf borderId="21" fillId="15" fontId="1" numFmtId="0" xfId="0" applyAlignment="1" applyBorder="1" applyFill="1" applyFont="1">
      <alignment horizontal="left" readingOrder="1"/>
    </xf>
    <xf borderId="56" fillId="0" fontId="1" numFmtId="0" xfId="0" applyAlignment="1" applyBorder="1" applyFont="1">
      <alignment horizontal="left" readingOrder="1" shrinkToFit="0" wrapText="1"/>
    </xf>
    <xf borderId="57" fillId="0" fontId="1" numFmtId="0" xfId="0" applyAlignment="1" applyBorder="1" applyFont="1">
      <alignment horizontal="left" readingOrder="1" shrinkToFit="0" wrapText="1"/>
    </xf>
    <xf borderId="18" fillId="0" fontId="8" numFmtId="0" xfId="0" applyAlignment="1" applyBorder="1" applyFont="1">
      <alignment horizontal="left" readingOrder="1" shrinkToFit="0" wrapText="1"/>
    </xf>
    <xf quotePrefix="1" borderId="18" fillId="0" fontId="1" numFmtId="0" xfId="0" applyAlignment="1" applyBorder="1" applyFont="1">
      <alignment horizontal="left" readingOrder="1" shrinkToFit="0" wrapText="1"/>
    </xf>
    <xf borderId="29" fillId="0" fontId="1" numFmtId="0" xfId="0" applyAlignment="1" applyBorder="1" applyFont="1">
      <alignment horizontal="left" readingOrder="1"/>
    </xf>
    <xf quotePrefix="1" borderId="27" fillId="0" fontId="1" numFmtId="0" xfId="0" applyAlignment="1" applyBorder="1" applyFont="1">
      <alignment horizontal="left" readingOrder="1" shrinkToFit="0" wrapText="1"/>
    </xf>
    <xf borderId="84" fillId="0" fontId="1" numFmtId="0" xfId="0" applyAlignment="1" applyBorder="1" applyFont="1">
      <alignment horizontal="left" readingOrder="1"/>
    </xf>
    <xf borderId="85" fillId="0" fontId="1" numFmtId="0" xfId="0" applyAlignment="1" applyBorder="1" applyFont="1">
      <alignment horizontal="left" readingOrder="1"/>
    </xf>
    <xf borderId="18" fillId="0" fontId="1" numFmtId="2" xfId="0" applyAlignment="1" applyBorder="1" applyFont="1" applyNumberFormat="1">
      <alignment horizontal="left" readingOrder="1" shrinkToFit="0" wrapText="1"/>
    </xf>
    <xf borderId="12" fillId="21" fontId="6" numFmtId="0" xfId="0" applyAlignment="1" applyBorder="1" applyFill="1" applyFont="1">
      <alignment horizontal="center" readingOrder="0"/>
    </xf>
    <xf borderId="18" fillId="0" fontId="1" numFmtId="165" xfId="0" applyAlignment="1" applyBorder="1" applyFont="1" applyNumberFormat="1">
      <alignment horizontal="left" readingOrder="1" shrinkToFit="0" wrapText="1"/>
    </xf>
    <xf borderId="38" fillId="21" fontId="1" numFmtId="0" xfId="0" applyAlignment="1" applyBorder="1" applyFill="1" applyFont="1">
      <alignment horizontal="center"/>
    </xf>
    <xf borderId="39" fillId="21" fontId="1" numFmtId="0" xfId="0" applyAlignment="1" applyBorder="1" applyFill="1" applyFont="1">
      <alignment horizontal="center"/>
    </xf>
    <xf borderId="40" fillId="21" fontId="1" numFmtId="0" xfId="0" applyAlignment="1" applyBorder="1" applyFill="1" applyFont="1">
      <alignment horizontal="center"/>
    </xf>
    <xf borderId="30" fillId="0" fontId="1" numFmtId="0" xfId="0" applyAlignment="1" applyBorder="1" applyFont="1">
      <alignment horizontal="left" readingOrder="1" shrinkToFit="0" wrapText="1"/>
    </xf>
    <xf borderId="31" fillId="0" fontId="1" numFmtId="0" xfId="0" applyAlignment="1" applyBorder="1" applyFont="1">
      <alignment horizontal="left" readingOrder="1" shrinkToFit="0" wrapText="1"/>
    </xf>
    <xf borderId="84" fillId="0" fontId="1" numFmtId="0" xfId="0" applyAlignment="1" applyBorder="1" applyFont="1">
      <alignment horizontal="right" readingOrder="1"/>
    </xf>
    <xf borderId="38" fillId="21" fontId="1" numFmtId="0" xfId="0" applyAlignment="1" applyBorder="1" applyFill="1" applyFont="1">
      <alignment readingOrder="0"/>
    </xf>
    <xf borderId="39" fillId="21" fontId="8" numFmtId="0" xfId="0" applyAlignment="1" applyBorder="1" applyFill="1" applyFont="1">
      <alignment readingOrder="0"/>
    </xf>
    <xf borderId="47" fillId="21" fontId="1" numFmtId="0" xfId="0" applyBorder="1" applyFill="1" applyFont="1"/>
    <xf borderId="59" fillId="21" fontId="1" numFmtId="0" xfId="0" applyAlignment="1" applyBorder="1" applyFill="1" applyFont="1">
      <alignment readingOrder="0"/>
    </xf>
    <xf borderId="61" fillId="21" fontId="1" numFmtId="0" xfId="0" applyBorder="1" applyFill="1" applyFont="1"/>
    <xf borderId="58" fillId="21" fontId="1" numFmtId="0" xfId="0" applyBorder="1" applyFill="1" applyFont="1"/>
    <xf borderId="59" fillId="21" fontId="1" numFmtId="0" xfId="0" applyBorder="1" applyFill="1" applyFont="1"/>
    <xf borderId="32" fillId="21" fontId="1" numFmtId="0" xfId="0" applyAlignment="1" applyBorder="1" applyFill="1" applyFont="1">
      <alignment readingOrder="0" shrinkToFit="0" wrapText="1"/>
    </xf>
    <xf borderId="11" fillId="0" fontId="1" numFmtId="0" xfId="0" applyAlignment="1" applyBorder="1" applyFont="1">
      <alignment horizontal="left" readingOrder="1"/>
    </xf>
    <xf borderId="33" fillId="21" fontId="1" numFmtId="0" xfId="0" applyAlignment="1" applyBorder="1" applyFill="1" applyFont="1">
      <alignment shrinkToFit="0" wrapText="1"/>
    </xf>
    <xf borderId="7" fillId="0" fontId="1" numFmtId="0" xfId="0" applyAlignment="1" applyBorder="1" applyFont="1">
      <alignment horizontal="left" readingOrder="1" shrinkToFit="0" wrapText="1"/>
    </xf>
    <xf borderId="34" fillId="21" fontId="1" numFmtId="0" xfId="0" applyAlignment="1" applyBorder="1" applyFill="1" applyFont="1">
      <alignment shrinkToFit="0" wrapText="1"/>
    </xf>
    <xf borderId="7" fillId="0" fontId="1" numFmtId="2" xfId="0" applyAlignment="1" applyBorder="1" applyFont="1" applyNumberFormat="1">
      <alignment horizontal="left" readingOrder="1" shrinkToFit="0" wrapText="1"/>
    </xf>
    <xf borderId="7" fillId="0" fontId="1" numFmtId="165" xfId="0" applyAlignment="1" applyBorder="1" applyFont="1" applyNumberFormat="1">
      <alignment horizontal="left" readingOrder="1" shrinkToFit="0" wrapText="1"/>
    </xf>
    <xf borderId="49" fillId="0" fontId="1" numFmtId="0" xfId="0" applyAlignment="1" applyBorder="1" applyFont="1">
      <alignment horizontal="left" readingOrder="1" shrinkToFit="0" wrapText="1"/>
    </xf>
    <xf borderId="52" fillId="0" fontId="1" numFmtId="0" xfId="0" applyAlignment="1" applyBorder="1" applyFont="1">
      <alignment horizontal="left" readingOrder="1"/>
    </xf>
    <xf borderId="23" fillId="0" fontId="1" numFmtId="0" xfId="0" applyAlignment="1" applyBorder="1" applyFont="1">
      <alignment horizontal="left" readingOrder="1" shrinkToFit="0" wrapText="1"/>
    </xf>
    <xf borderId="23" fillId="0" fontId="1" numFmtId="2" xfId="0" applyAlignment="1" applyBorder="1" applyFont="1" applyNumberFormat="1">
      <alignment horizontal="left" readingOrder="1" shrinkToFit="0" wrapText="1"/>
    </xf>
    <xf borderId="23" fillId="0" fontId="1" numFmtId="0" xfId="0" applyAlignment="1" applyBorder="1" applyFont="1">
      <alignment horizontal="left" readingOrder="1"/>
    </xf>
    <xf borderId="23" fillId="0" fontId="1" numFmtId="165" xfId="0" applyAlignment="1" applyBorder="1" applyFont="1" applyNumberFormat="1">
      <alignment horizontal="left" readingOrder="1" shrinkToFit="0" wrapText="1"/>
    </xf>
    <xf borderId="53" fillId="0" fontId="1" numFmtId="0" xfId="0" applyAlignment="1" applyBorder="1" applyFont="1">
      <alignment horizontal="left" readingOrder="1" shrinkToFit="0" wrapText="1"/>
    </xf>
    <xf borderId="54" fillId="0" fontId="1" numFmtId="0" xfId="0" applyAlignment="1" applyBorder="1" applyFont="1">
      <alignment horizontal="left" readingOrder="1" shrinkToFit="0" wrapText="1"/>
    </xf>
    <xf borderId="21" fillId="13" fontId="1" numFmtId="0" xfId="0" applyAlignment="1" applyBorder="1" applyFill="1" applyFont="1">
      <alignment horizontal="left" readingOrder="1"/>
    </xf>
    <xf borderId="17" fillId="0" fontId="1" numFmtId="0" xfId="0" applyAlignment="1" applyBorder="1" applyFont="1">
      <alignment horizontal="left" readingOrder="1" shrinkToFit="0" wrapText="1"/>
    </xf>
    <xf borderId="62" fillId="0" fontId="1" numFmtId="0" xfId="0" applyAlignment="1" applyBorder="1" applyFont="1">
      <alignment horizontal="left" readingOrder="1"/>
    </xf>
    <xf borderId="70" fillId="15" fontId="1" numFmtId="0" xfId="0" applyAlignment="1" applyBorder="1" applyFill="1" applyFont="1">
      <alignment horizontal="left" readingOrder="1"/>
    </xf>
    <xf borderId="0" fillId="22" fontId="5" numFmtId="0" xfId="0" applyAlignment="1" applyFill="1" applyFont="1">
      <alignment readingOrder="0"/>
    </xf>
    <xf borderId="0" fillId="0" fontId="5" numFmtId="171" xfId="0" applyAlignment="1" applyFont="1" applyNumberFormat="1">
      <alignment readingOrder="0"/>
    </xf>
    <xf borderId="0" fillId="0" fontId="23" numFmtId="0" xfId="0" applyAlignment="1" applyFont="1">
      <alignment readingOrder="0"/>
    </xf>
    <xf borderId="0" fillId="0" fontId="5" numFmtId="172" xfId="0" applyAlignment="1" applyFont="1" applyNumberFormat="1">
      <alignment readingOrder="0"/>
    </xf>
    <xf borderId="0" fillId="0" fontId="24" numFmtId="0" xfId="0" applyAlignment="1" applyFont="1">
      <alignment readingOrder="0"/>
    </xf>
    <xf borderId="18" fillId="10" fontId="1" numFmtId="0" xfId="0" applyAlignment="1" applyBorder="1" applyFill="1" applyFont="1">
      <alignment horizontal="left" readingOrder="1"/>
    </xf>
    <xf borderId="21" fillId="10" fontId="1" numFmtId="0" xfId="0" applyAlignment="1" applyBorder="1" applyFill="1" applyFont="1">
      <alignment horizontal="left" readingOrder="1"/>
    </xf>
    <xf borderId="70" fillId="10" fontId="1" numFmtId="0" xfId="0" applyBorder="1" applyFill="1" applyFont="1"/>
    <xf borderId="0" fillId="23" fontId="5" numFmtId="0" xfId="0" applyAlignment="1" applyFill="1" applyFont="1">
      <alignment readingOrder="0"/>
    </xf>
    <xf borderId="0" fillId="24" fontId="5" numFmtId="0" xfId="0" applyFill="1" applyFont="1"/>
    <xf borderId="86" fillId="13" fontId="1" numFmtId="0" xfId="0" applyBorder="1" applyFill="1" applyFont="1"/>
    <xf borderId="0" fillId="13" fontId="1" numFmtId="0" xfId="0" applyFill="1" applyFont="1"/>
    <xf borderId="87" fillId="13" fontId="1" numFmtId="0" xfId="0" applyAlignment="1" applyBorder="1" applyFill="1" applyFont="1">
      <alignment horizontal="left" readingOrder="1"/>
    </xf>
    <xf borderId="78" fillId="13" fontId="1" numFmtId="0" xfId="0" applyBorder="1" applyFill="1" applyFont="1"/>
    <xf borderId="88" fillId="0" fontId="1" numFmtId="0" xfId="0" applyBorder="1" applyFont="1"/>
    <xf borderId="89" fillId="0" fontId="1" numFmtId="0" xfId="0" applyAlignment="1" applyBorder="1" applyFont="1">
      <alignment horizontal="left" readingOrder="1"/>
    </xf>
    <xf borderId="0" fillId="0" fontId="17" numFmtId="0" xfId="0" applyAlignment="1" applyFont="1">
      <alignment readingOrder="0"/>
    </xf>
    <xf borderId="0" fillId="0" fontId="1" numFmtId="0" xfId="0" applyAlignment="1" applyFont="1">
      <alignment readingOrder="0"/>
    </xf>
    <xf borderId="0" fillId="0" fontId="1" numFmtId="0" xfId="0" applyFont="1"/>
    <xf borderId="0" fillId="8" fontId="1" numFmtId="0" xfId="0" applyAlignment="1" applyFill="1" applyFont="1">
      <alignment readingOrder="0"/>
    </xf>
    <xf borderId="0" fillId="8" fontId="14" numFmtId="0" xfId="0" applyFill="1" applyFont="1"/>
    <xf borderId="0" fillId="8" fontId="5" numFmtId="0" xfId="0" applyFill="1" applyFont="1"/>
    <xf borderId="0" fillId="0" fontId="14" numFmtId="0" xfId="0" applyFont="1"/>
    <xf borderId="0" fillId="0" fontId="22" numFmtId="0" xfId="0" applyFont="1"/>
    <xf borderId="0" fillId="0" fontId="25" numFmtId="0" xfId="0" applyFont="1"/>
    <xf borderId="0" fillId="0" fontId="1" numFmtId="16" xfId="0" applyFont="1" applyNumberFormat="1"/>
    <xf borderId="0" fillId="0" fontId="2" numFmtId="0" xfId="0" applyFont="1"/>
    <xf borderId="70" fillId="0" fontId="8" numFmtId="0" xfId="0" applyBorder="1" applyFont="1"/>
    <xf borderId="17" fillId="0" fontId="9" numFmtId="0" xfId="0" applyAlignment="1" applyBorder="1" applyFont="1">
      <alignment horizontal="left" readingOrder="1"/>
    </xf>
    <xf borderId="70" fillId="15" fontId="1" numFmtId="0" xfId="0" applyBorder="1" applyFill="1" applyFont="1"/>
    <xf borderId="25" fillId="8" fontId="1" numFmtId="0" xfId="0" applyAlignment="1" applyBorder="1" applyFill="1" applyFont="1">
      <alignment horizontal="center" readingOrder="1"/>
    </xf>
    <xf borderId="80" fillId="0" fontId="4" numFmtId="0" xfId="0" applyBorder="1" applyFont="1"/>
    <xf borderId="22" fillId="0" fontId="4" numFmtId="0" xfId="0" applyBorder="1" applyFont="1"/>
    <xf borderId="25" fillId="14" fontId="1" numFmtId="0" xfId="0" applyAlignment="1" applyBorder="1" applyFill="1" applyFont="1">
      <alignment horizontal="center" readingOrder="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323850</xdr:colOff>
      <xdr:row>19</xdr:row>
      <xdr:rowOff>133350</xdr:rowOff>
    </xdr:from>
    <xdr:ext cx="4010025" cy="19335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28575</xdr:colOff>
      <xdr:row>0</xdr:row>
      <xdr:rowOff>104775</xdr:rowOff>
    </xdr:from>
    <xdr:ext cx="4953000" cy="30956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28575</xdr:colOff>
      <xdr:row>18</xdr:row>
      <xdr:rowOff>114300</xdr:rowOff>
    </xdr:from>
    <xdr:ext cx="2819400" cy="16859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opscience.iop.org/article/10.1088/1742-6596/75/1/012071/pdf" TargetMode="External"/><Relationship Id="rId2" Type="http://schemas.openxmlformats.org/officeDocument/2006/relationships/hyperlink" Target="https://www.bsee.gov/sites/bsee.gov/files/research-reports/776aa.pdf" TargetMode="External"/><Relationship Id="rId3" Type="http://schemas.openxmlformats.org/officeDocument/2006/relationships/hyperlink" Target="https://www.bsee.gov/sites/bsee.gov/files/research-reports/776aa.pdf" TargetMode="External"/><Relationship Id="rId4" Type="http://schemas.openxmlformats.org/officeDocument/2006/relationships/hyperlink" Target="https://www.nlr.gov/wind/nwtc/metocean-data"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71"/>
    <col customWidth="1" min="3" max="3" width="8.71"/>
    <col customWidth="1" min="4" max="4" width="16.57"/>
    <col customWidth="1" min="5" max="8" width="8.71"/>
    <col customWidth="1" min="9" max="9" width="16.0"/>
    <col customWidth="1" min="10" max="10" width="8.71"/>
    <col customWidth="1" min="11" max="11" width="10.14"/>
    <col customWidth="1" min="12" max="15" width="8.71"/>
    <col customWidth="1" min="16" max="16" width="9.86"/>
    <col customWidth="1" min="17" max="31" width="8.71"/>
  </cols>
  <sheetData>
    <row r="1">
      <c r="A1" s="1"/>
      <c r="B1" s="1"/>
      <c r="C1" s="4" t="s">
        <v>1</v>
      </c>
      <c r="D1" s="6"/>
      <c r="E1" s="6"/>
      <c r="F1" s="6"/>
      <c r="G1" s="6"/>
      <c r="H1" s="6"/>
      <c r="I1" s="8"/>
      <c r="J1" s="9"/>
      <c r="K1" s="11" t="s">
        <v>6</v>
      </c>
      <c r="L1" s="6"/>
      <c r="M1" s="6"/>
      <c r="N1" s="6"/>
      <c r="O1" s="6"/>
      <c r="P1" s="6"/>
      <c r="Q1" s="8"/>
      <c r="R1" s="9"/>
      <c r="S1" s="12"/>
      <c r="T1" s="12"/>
      <c r="U1" s="14"/>
      <c r="V1" s="14"/>
      <c r="W1" s="14"/>
      <c r="X1" s="14"/>
      <c r="Y1" s="14"/>
      <c r="Z1" s="14"/>
      <c r="AA1" s="14"/>
      <c r="AB1" s="14"/>
      <c r="AC1" s="14"/>
      <c r="AD1" s="14"/>
      <c r="AE1" s="14"/>
    </row>
    <row r="2">
      <c r="A2" s="16"/>
      <c r="B2" s="16"/>
      <c r="C2" s="17" t="s">
        <v>33</v>
      </c>
      <c r="D2" s="18"/>
      <c r="E2" s="19" t="s">
        <v>34</v>
      </c>
      <c r="F2" s="20"/>
      <c r="G2" s="20"/>
      <c r="H2" s="21"/>
      <c r="I2" s="25" t="s">
        <v>35</v>
      </c>
      <c r="J2" s="34"/>
      <c r="K2" s="19" t="s">
        <v>34</v>
      </c>
      <c r="L2" s="20"/>
      <c r="M2" s="21"/>
      <c r="N2" s="37"/>
      <c r="O2" s="39" t="s">
        <v>35</v>
      </c>
      <c r="P2" s="20"/>
      <c r="Q2" s="21"/>
      <c r="R2" s="34"/>
      <c r="S2" s="12"/>
      <c r="T2" s="12"/>
      <c r="U2" s="14"/>
      <c r="V2" s="14"/>
      <c r="W2" s="14"/>
      <c r="X2" s="14"/>
      <c r="Y2" s="14"/>
      <c r="Z2" s="14"/>
      <c r="AA2" s="14"/>
      <c r="AB2" s="14"/>
      <c r="AC2" s="14"/>
      <c r="AD2" s="14"/>
      <c r="AE2" s="14"/>
    </row>
    <row r="3">
      <c r="A3" s="42" t="s">
        <v>51</v>
      </c>
      <c r="B3" s="50" t="s">
        <v>52</v>
      </c>
      <c r="C3" s="53" t="s">
        <v>60</v>
      </c>
      <c r="D3" s="54" t="s">
        <v>65</v>
      </c>
      <c r="E3" s="56" t="s">
        <v>67</v>
      </c>
      <c r="F3" s="56" t="s">
        <v>68</v>
      </c>
      <c r="G3" s="57" t="s">
        <v>69</v>
      </c>
      <c r="H3" s="58" t="s">
        <v>71</v>
      </c>
      <c r="I3" s="56" t="s">
        <v>73</v>
      </c>
      <c r="J3" s="34"/>
      <c r="K3" s="59" t="s">
        <v>74</v>
      </c>
      <c r="L3" s="56" t="s">
        <v>67</v>
      </c>
      <c r="M3" s="56" t="s">
        <v>68</v>
      </c>
      <c r="N3" s="37"/>
      <c r="O3" s="56" t="s">
        <v>75</v>
      </c>
      <c r="P3" s="56" t="s">
        <v>73</v>
      </c>
      <c r="Q3" s="56" t="s">
        <v>76</v>
      </c>
      <c r="R3" s="34"/>
      <c r="S3" s="12"/>
      <c r="T3" s="12"/>
      <c r="U3" s="14"/>
      <c r="V3" s="14"/>
      <c r="W3" s="14"/>
      <c r="X3" s="14"/>
      <c r="Y3" s="14"/>
      <c r="Z3" s="14"/>
      <c r="AA3" s="14"/>
      <c r="AB3" s="14"/>
      <c r="AC3" s="14"/>
      <c r="AD3" s="14"/>
      <c r="AE3" s="14"/>
    </row>
    <row r="4">
      <c r="A4" s="61"/>
      <c r="B4" s="62"/>
      <c r="C4" s="59" t="s">
        <v>77</v>
      </c>
      <c r="D4" s="62"/>
      <c r="E4" s="59" t="s">
        <v>78</v>
      </c>
      <c r="F4" s="63" t="s">
        <v>80</v>
      </c>
      <c r="G4" s="64" t="s">
        <v>81</v>
      </c>
      <c r="H4" s="63"/>
      <c r="I4" s="65" t="s">
        <v>82</v>
      </c>
      <c r="J4" s="34"/>
      <c r="K4" s="56" t="s">
        <v>78</v>
      </c>
      <c r="L4" s="56" t="s">
        <v>81</v>
      </c>
      <c r="M4" s="56" t="s">
        <v>80</v>
      </c>
      <c r="N4" s="37"/>
      <c r="O4" s="66" t="s">
        <v>83</v>
      </c>
      <c r="P4" s="67" t="s">
        <v>84</v>
      </c>
      <c r="Q4" s="67" t="s">
        <v>84</v>
      </c>
      <c r="R4" s="34"/>
      <c r="S4" s="12"/>
      <c r="T4" s="12"/>
      <c r="U4" s="14"/>
      <c r="V4" s="14"/>
      <c r="W4" s="14"/>
      <c r="X4" s="14"/>
      <c r="Y4" s="14"/>
      <c r="Z4" s="14"/>
      <c r="AA4" s="14"/>
      <c r="AB4" s="14"/>
      <c r="AC4" s="14"/>
      <c r="AD4" s="14"/>
      <c r="AE4" s="14"/>
    </row>
    <row r="5">
      <c r="A5" s="69"/>
      <c r="B5" s="69"/>
      <c r="C5" s="69" t="s">
        <v>85</v>
      </c>
      <c r="D5" s="69"/>
      <c r="E5" s="73" t="s">
        <v>87</v>
      </c>
      <c r="F5" s="73" t="s">
        <v>93</v>
      </c>
      <c r="G5" s="74" t="s">
        <v>87</v>
      </c>
      <c r="H5" s="75"/>
      <c r="I5" s="73" t="s">
        <v>93</v>
      </c>
      <c r="J5" s="76"/>
      <c r="K5" s="73" t="s">
        <v>87</v>
      </c>
      <c r="L5" s="73" t="s">
        <v>87</v>
      </c>
      <c r="M5" s="73" t="s">
        <v>93</v>
      </c>
      <c r="N5" s="78"/>
      <c r="O5" s="79" t="s">
        <v>84</v>
      </c>
      <c r="P5" s="73" t="s">
        <v>93</v>
      </c>
      <c r="Q5" s="73" t="s">
        <v>93</v>
      </c>
      <c r="R5" s="76"/>
      <c r="S5" s="12"/>
      <c r="T5" s="12"/>
      <c r="U5" s="14"/>
      <c r="V5" s="14"/>
      <c r="W5" s="14"/>
      <c r="X5" s="14"/>
      <c r="Y5" s="14"/>
      <c r="Z5" s="14"/>
      <c r="AA5" s="14"/>
      <c r="AB5" s="14"/>
      <c r="AC5" s="14"/>
      <c r="AD5" s="14"/>
      <c r="AE5" s="14"/>
    </row>
    <row r="6">
      <c r="A6" s="61">
        <v>1.0</v>
      </c>
      <c r="B6" s="80" t="s">
        <v>95</v>
      </c>
      <c r="C6" s="59">
        <v>8.0</v>
      </c>
      <c r="D6" s="54" t="s">
        <v>96</v>
      </c>
      <c r="E6" s="59">
        <v>6.0</v>
      </c>
      <c r="F6" s="59">
        <v>10.0</v>
      </c>
      <c r="G6" s="59">
        <v>20.0</v>
      </c>
      <c r="H6" s="56" t="s">
        <v>97</v>
      </c>
      <c r="I6" s="81">
        <f t="shared" ref="I6:I10" si="1">P6*SQRT(O6)</f>
        <v>1031.015095</v>
      </c>
      <c r="J6" s="34"/>
      <c r="K6" s="81">
        <f t="shared" ref="K6:K10" si="2">G6/O6</f>
        <v>1.693333333</v>
      </c>
      <c r="L6" s="82">
        <f t="shared" ref="L6:L10" si="3">E6/O6</f>
        <v>0.508</v>
      </c>
      <c r="M6" s="82">
        <f t="shared" ref="M6:M10" si="4">F6/sqrt(O6)</f>
        <v>2.909753712</v>
      </c>
      <c r="N6" s="37"/>
      <c r="O6" s="83">
        <f t="shared" ref="O6:O10" si="5">6/0.508</f>
        <v>11.81102362</v>
      </c>
      <c r="P6" s="84">
        <v>300.0</v>
      </c>
      <c r="Q6" s="85">
        <v>20.0</v>
      </c>
      <c r="R6" s="34"/>
      <c r="S6" s="87" t="s">
        <v>98</v>
      </c>
      <c r="T6" s="12"/>
      <c r="U6" s="14"/>
      <c r="V6" s="14"/>
      <c r="W6" s="14"/>
      <c r="X6" s="14"/>
      <c r="Y6" s="14"/>
      <c r="Z6" s="14"/>
      <c r="AA6" s="14"/>
      <c r="AB6" s="14"/>
      <c r="AC6" s="14"/>
      <c r="AD6" s="14"/>
      <c r="AE6" s="14"/>
    </row>
    <row r="7">
      <c r="A7" s="61">
        <v>2.0</v>
      </c>
      <c r="B7" s="80" t="s">
        <v>95</v>
      </c>
      <c r="C7" s="59">
        <v>11.4</v>
      </c>
      <c r="D7" s="54" t="s">
        <v>101</v>
      </c>
      <c r="E7" s="59">
        <v>6.0</v>
      </c>
      <c r="F7" s="59">
        <v>10.0</v>
      </c>
      <c r="G7" s="59">
        <v>20.0</v>
      </c>
      <c r="H7" s="37" t="s">
        <v>102</v>
      </c>
      <c r="I7" s="81">
        <f t="shared" si="1"/>
        <v>1031.015095</v>
      </c>
      <c r="J7" s="34"/>
      <c r="K7" s="81">
        <f t="shared" si="2"/>
        <v>1.693333333</v>
      </c>
      <c r="L7" s="82">
        <f t="shared" si="3"/>
        <v>0.508</v>
      </c>
      <c r="M7" s="82">
        <f t="shared" si="4"/>
        <v>2.909753712</v>
      </c>
      <c r="N7" s="37"/>
      <c r="O7" s="83">
        <f t="shared" si="5"/>
        <v>11.81102362</v>
      </c>
      <c r="P7" s="84">
        <v>300.0</v>
      </c>
      <c r="Q7" s="85">
        <v>20.0</v>
      </c>
      <c r="R7" s="34"/>
      <c r="S7" s="12"/>
      <c r="T7" s="12"/>
      <c r="U7" s="14"/>
      <c r="V7" s="14"/>
      <c r="W7" s="14"/>
      <c r="X7" s="14"/>
      <c r="Y7" s="14"/>
      <c r="Z7" s="14"/>
      <c r="AA7" s="14"/>
      <c r="AB7" s="14"/>
      <c r="AC7" s="14"/>
      <c r="AD7" s="14"/>
      <c r="AE7" s="14"/>
    </row>
    <row r="8">
      <c r="A8" s="93">
        <v>3.0</v>
      </c>
      <c r="B8" s="94" t="s">
        <v>95</v>
      </c>
      <c r="C8" s="95">
        <v>18.0</v>
      </c>
      <c r="D8" s="118" t="s">
        <v>101</v>
      </c>
      <c r="E8" s="95">
        <v>6.0</v>
      </c>
      <c r="F8" s="95">
        <v>10.0</v>
      </c>
      <c r="G8" s="95">
        <v>20.0</v>
      </c>
      <c r="H8" s="16" t="s">
        <v>102</v>
      </c>
      <c r="I8" s="123">
        <f t="shared" si="1"/>
        <v>1031.015095</v>
      </c>
      <c r="J8" s="124"/>
      <c r="K8" s="123">
        <f t="shared" si="2"/>
        <v>1.693333333</v>
      </c>
      <c r="L8" s="126">
        <f t="shared" si="3"/>
        <v>0.508</v>
      </c>
      <c r="M8" s="126">
        <f t="shared" si="4"/>
        <v>2.909753712</v>
      </c>
      <c r="N8" s="16"/>
      <c r="O8" s="128">
        <f t="shared" si="5"/>
        <v>11.81102362</v>
      </c>
      <c r="P8" s="130">
        <v>300.0</v>
      </c>
      <c r="Q8" s="130">
        <v>20.0</v>
      </c>
      <c r="R8" s="124"/>
      <c r="S8" s="12"/>
      <c r="T8" s="12"/>
      <c r="U8" s="14"/>
      <c r="V8" s="14"/>
      <c r="W8" s="14"/>
      <c r="X8" s="14"/>
      <c r="Y8" s="14"/>
      <c r="Z8" s="14"/>
      <c r="AA8" s="14"/>
      <c r="AB8" s="14"/>
      <c r="AC8" s="14"/>
      <c r="AD8" s="14"/>
      <c r="AE8" s="14"/>
    </row>
    <row r="9">
      <c r="A9" s="136">
        <v>4.0</v>
      </c>
      <c r="B9" s="137" t="s">
        <v>95</v>
      </c>
      <c r="C9" s="53">
        <v>20.0</v>
      </c>
      <c r="D9" s="59" t="s">
        <v>101</v>
      </c>
      <c r="E9" s="53">
        <v>5.0</v>
      </c>
      <c r="F9" s="138">
        <v>7.1</v>
      </c>
      <c r="G9" s="53">
        <v>20.0</v>
      </c>
      <c r="H9" s="139" t="s">
        <v>97</v>
      </c>
      <c r="I9" s="138">
        <f t="shared" si="1"/>
        <v>1031.015095</v>
      </c>
      <c r="J9" s="140"/>
      <c r="K9" s="138">
        <f t="shared" si="2"/>
        <v>1.693333333</v>
      </c>
      <c r="L9" s="141">
        <f t="shared" si="3"/>
        <v>0.4233333333</v>
      </c>
      <c r="M9" s="141">
        <f t="shared" si="4"/>
        <v>2.065925136</v>
      </c>
      <c r="N9" s="142"/>
      <c r="O9" s="143">
        <f t="shared" si="5"/>
        <v>11.81102362</v>
      </c>
      <c r="P9" s="144">
        <v>300.0</v>
      </c>
      <c r="Q9" s="145">
        <v>20.0</v>
      </c>
      <c r="R9" s="140"/>
      <c r="S9" s="146" t="s">
        <v>193</v>
      </c>
      <c r="T9" s="12"/>
      <c r="U9" s="14"/>
      <c r="V9" s="14"/>
      <c r="W9" s="14"/>
      <c r="X9" s="14"/>
      <c r="Y9" s="14"/>
      <c r="Z9" s="14"/>
      <c r="AA9" s="14"/>
      <c r="AB9" s="14"/>
      <c r="AC9" s="14"/>
      <c r="AD9" s="14"/>
      <c r="AE9" s="14"/>
    </row>
    <row r="10">
      <c r="A10" s="61">
        <v>5.0</v>
      </c>
      <c r="B10" s="80" t="s">
        <v>95</v>
      </c>
      <c r="C10" s="59">
        <v>20.0</v>
      </c>
      <c r="D10" s="59" t="s">
        <v>101</v>
      </c>
      <c r="E10" s="53">
        <v>2.0</v>
      </c>
      <c r="F10" s="138">
        <v>7.1</v>
      </c>
      <c r="G10" s="59">
        <v>20.0</v>
      </c>
      <c r="H10" s="56" t="s">
        <v>97</v>
      </c>
      <c r="I10" s="81">
        <f t="shared" si="1"/>
        <v>1031.015095</v>
      </c>
      <c r="J10" s="34"/>
      <c r="K10" s="81">
        <f t="shared" si="2"/>
        <v>1.693333333</v>
      </c>
      <c r="L10" s="82">
        <f t="shared" si="3"/>
        <v>0.1693333333</v>
      </c>
      <c r="M10" s="82">
        <f t="shared" si="4"/>
        <v>2.065925136</v>
      </c>
      <c r="N10" s="37"/>
      <c r="O10" s="83">
        <f t="shared" si="5"/>
        <v>11.81102362</v>
      </c>
      <c r="P10" s="84">
        <v>300.0</v>
      </c>
      <c r="Q10" s="85">
        <v>20.0</v>
      </c>
      <c r="R10" s="34"/>
      <c r="S10" s="12"/>
      <c r="T10" s="12"/>
      <c r="U10" s="14"/>
      <c r="V10" s="14"/>
      <c r="W10" s="14"/>
      <c r="X10" s="14"/>
      <c r="Y10" s="14"/>
      <c r="Z10" s="14"/>
      <c r="AA10" s="14"/>
      <c r="AB10" s="14"/>
      <c r="AC10" s="14"/>
      <c r="AD10" s="14"/>
      <c r="AE10" s="14"/>
    </row>
    <row r="11">
      <c r="A11" s="14"/>
      <c r="B11" s="14"/>
      <c r="C11" s="14"/>
      <c r="D11" s="147"/>
      <c r="E11" s="14"/>
      <c r="F11" s="14"/>
      <c r="G11" s="14"/>
      <c r="H11" s="14"/>
      <c r="I11" s="14"/>
      <c r="J11" s="14"/>
      <c r="K11" s="12"/>
      <c r="L11" s="14"/>
      <c r="M11" s="14"/>
      <c r="N11" s="14"/>
      <c r="O11" s="14"/>
      <c r="P11" s="14"/>
      <c r="Q11" s="14"/>
      <c r="R11" s="14"/>
      <c r="S11" s="12"/>
      <c r="T11" s="12"/>
      <c r="U11" s="14"/>
      <c r="V11" s="14"/>
      <c r="W11" s="14"/>
      <c r="X11" s="14"/>
      <c r="Y11" s="14"/>
      <c r="Z11" s="14"/>
      <c r="AA11" s="14"/>
      <c r="AB11" s="14"/>
      <c r="AC11" s="14"/>
      <c r="AD11" s="14"/>
      <c r="AE11" s="14"/>
    </row>
    <row r="12">
      <c r="A12" s="14"/>
      <c r="B12" s="14"/>
      <c r="C12" s="14"/>
      <c r="D12" s="147"/>
      <c r="E12" s="14"/>
      <c r="F12" s="14"/>
      <c r="G12" s="14"/>
      <c r="H12" s="14"/>
      <c r="I12" s="14"/>
      <c r="J12" s="14"/>
      <c r="K12" s="12"/>
      <c r="L12" s="14"/>
      <c r="M12" s="14"/>
      <c r="N12" s="14"/>
      <c r="O12" s="14"/>
      <c r="P12" s="14"/>
      <c r="Q12" s="14"/>
      <c r="R12" s="14"/>
      <c r="S12" s="12"/>
      <c r="T12" s="12"/>
      <c r="U12" s="14"/>
      <c r="V12" s="14"/>
      <c r="W12" s="14"/>
      <c r="X12" s="14"/>
      <c r="Y12" s="14"/>
      <c r="Z12" s="14"/>
      <c r="AA12" s="14"/>
      <c r="AB12" s="14"/>
      <c r="AC12" s="14"/>
      <c r="AD12" s="14"/>
      <c r="AE12" s="14"/>
    </row>
    <row r="13">
      <c r="A13" s="1"/>
      <c r="B13" s="1"/>
      <c r="C13" s="4" t="s">
        <v>195</v>
      </c>
      <c r="D13" s="6"/>
      <c r="E13" s="6"/>
      <c r="F13" s="6"/>
      <c r="G13" s="6"/>
      <c r="H13" s="6"/>
      <c r="I13" s="8"/>
      <c r="J13" s="9"/>
      <c r="K13" s="11" t="s">
        <v>6</v>
      </c>
      <c r="L13" s="6"/>
      <c r="M13" s="6"/>
      <c r="N13" s="6"/>
      <c r="O13" s="6"/>
      <c r="P13" s="6"/>
      <c r="Q13" s="8"/>
      <c r="R13" s="150"/>
      <c r="S13" s="151"/>
      <c r="T13" s="152"/>
      <c r="U13" s="5"/>
      <c r="V13" s="5"/>
      <c r="W13" s="5"/>
      <c r="X13" s="5"/>
      <c r="Y13" s="5"/>
      <c r="Z13" s="5"/>
      <c r="AA13" s="5"/>
      <c r="AB13" s="5"/>
      <c r="AC13" s="5"/>
      <c r="AD13" s="5"/>
      <c r="AE13" s="153"/>
    </row>
    <row r="14">
      <c r="A14" s="16"/>
      <c r="B14" s="16"/>
      <c r="C14" s="17" t="s">
        <v>33</v>
      </c>
      <c r="D14" s="18"/>
      <c r="E14" s="19" t="s">
        <v>34</v>
      </c>
      <c r="F14" s="20"/>
      <c r="G14" s="20"/>
      <c r="H14" s="21"/>
      <c r="I14" s="25" t="s">
        <v>35</v>
      </c>
      <c r="J14" s="34"/>
      <c r="K14" s="19" t="s">
        <v>34</v>
      </c>
      <c r="L14" s="20"/>
      <c r="M14" s="21"/>
      <c r="N14" s="37"/>
      <c r="O14" s="39" t="s">
        <v>35</v>
      </c>
      <c r="P14" s="20"/>
      <c r="Q14" s="21"/>
      <c r="R14" s="154"/>
      <c r="S14" s="38"/>
      <c r="T14" s="38"/>
      <c r="U14" s="38"/>
      <c r="V14" s="38"/>
      <c r="W14" s="38"/>
      <c r="X14" s="38"/>
      <c r="Y14" s="38"/>
      <c r="Z14" s="38"/>
      <c r="AA14" s="38"/>
      <c r="AB14" s="38"/>
      <c r="AC14" s="38"/>
      <c r="AD14" s="38"/>
      <c r="AE14" s="48"/>
    </row>
    <row r="15">
      <c r="A15" s="155" t="s">
        <v>51</v>
      </c>
      <c r="B15" s="156" t="s">
        <v>52</v>
      </c>
      <c r="C15" s="53" t="s">
        <v>60</v>
      </c>
      <c r="D15" s="54" t="s">
        <v>65</v>
      </c>
      <c r="E15" s="56" t="s">
        <v>67</v>
      </c>
      <c r="F15" s="56" t="s">
        <v>68</v>
      </c>
      <c r="G15" s="37"/>
      <c r="H15" s="58" t="s">
        <v>71</v>
      </c>
      <c r="I15" s="56" t="s">
        <v>73</v>
      </c>
      <c r="J15" s="34"/>
      <c r="K15" s="56" t="s">
        <v>69</v>
      </c>
      <c r="L15" s="56" t="s">
        <v>67</v>
      </c>
      <c r="M15" s="56" t="s">
        <v>68</v>
      </c>
      <c r="N15" s="37"/>
      <c r="O15" s="56" t="s">
        <v>75</v>
      </c>
      <c r="P15" s="56" t="s">
        <v>73</v>
      </c>
      <c r="Q15" s="56" t="s">
        <v>76</v>
      </c>
      <c r="R15" s="154"/>
      <c r="S15" s="159" t="s">
        <v>247</v>
      </c>
      <c r="T15" s="160" t="s">
        <v>255</v>
      </c>
      <c r="U15" s="161"/>
      <c r="V15" s="161"/>
      <c r="W15" s="161"/>
      <c r="X15" s="161"/>
      <c r="Y15" s="161"/>
      <c r="Z15" s="161"/>
      <c r="AA15" s="161"/>
      <c r="AB15" s="161"/>
      <c r="AC15" s="161"/>
      <c r="AD15" s="161"/>
      <c r="AE15" s="48"/>
    </row>
    <row r="16">
      <c r="A16" s="163"/>
      <c r="B16" s="163"/>
      <c r="C16" s="164" t="s">
        <v>77</v>
      </c>
      <c r="D16" s="62"/>
      <c r="E16" s="56" t="s">
        <v>81</v>
      </c>
      <c r="F16" s="56" t="s">
        <v>80</v>
      </c>
      <c r="G16" s="37"/>
      <c r="H16" s="163"/>
      <c r="I16" s="66" t="s">
        <v>82</v>
      </c>
      <c r="J16" s="34"/>
      <c r="K16" s="56" t="s">
        <v>78</v>
      </c>
      <c r="L16" s="56" t="s">
        <v>81</v>
      </c>
      <c r="M16" s="56" t="s">
        <v>80</v>
      </c>
      <c r="N16" s="37"/>
      <c r="O16" s="66" t="s">
        <v>287</v>
      </c>
      <c r="P16" s="67" t="s">
        <v>84</v>
      </c>
      <c r="Q16" s="67" t="s">
        <v>84</v>
      </c>
      <c r="R16" s="154"/>
      <c r="S16" s="38"/>
      <c r="T16" s="186"/>
      <c r="U16" s="161"/>
      <c r="V16" s="161"/>
      <c r="W16" s="38"/>
      <c r="X16" s="161"/>
      <c r="Y16" s="38"/>
      <c r="Z16" s="38"/>
      <c r="AA16" s="38"/>
      <c r="AB16" s="161"/>
      <c r="AC16" s="38"/>
      <c r="AD16" s="161"/>
      <c r="AE16" s="188"/>
    </row>
    <row r="17">
      <c r="A17" s="75"/>
      <c r="B17" s="75"/>
      <c r="C17" s="69" t="s">
        <v>85</v>
      </c>
      <c r="D17" s="78"/>
      <c r="E17" s="73" t="s">
        <v>87</v>
      </c>
      <c r="F17" s="73" t="s">
        <v>93</v>
      </c>
      <c r="G17" s="78"/>
      <c r="H17" s="75"/>
      <c r="I17" s="73" t="s">
        <v>93</v>
      </c>
      <c r="J17" s="76"/>
      <c r="K17" s="73" t="s">
        <v>87</v>
      </c>
      <c r="L17" s="73" t="s">
        <v>87</v>
      </c>
      <c r="M17" s="73" t="s">
        <v>93</v>
      </c>
      <c r="N17" s="78"/>
      <c r="O17" s="79" t="s">
        <v>84</v>
      </c>
      <c r="P17" s="73" t="s">
        <v>93</v>
      </c>
      <c r="Q17" s="73" t="s">
        <v>93</v>
      </c>
      <c r="R17" s="192"/>
      <c r="S17" s="193"/>
      <c r="T17" s="194"/>
      <c r="U17" s="194"/>
      <c r="V17" s="194"/>
      <c r="W17" s="193"/>
      <c r="X17" s="193"/>
      <c r="Y17" s="193"/>
      <c r="Z17" s="193"/>
      <c r="AA17" s="193"/>
      <c r="AB17" s="194"/>
      <c r="AC17" s="193"/>
      <c r="AD17" s="193"/>
      <c r="AE17" s="195"/>
    </row>
    <row r="18">
      <c r="A18" s="196">
        <v>6.0</v>
      </c>
      <c r="B18" s="80" t="s">
        <v>330</v>
      </c>
      <c r="C18" s="59">
        <v>6.0</v>
      </c>
      <c r="D18" s="54" t="s">
        <v>96</v>
      </c>
      <c r="E18" s="59">
        <v>1.18</v>
      </c>
      <c r="F18" s="59">
        <v>8.31</v>
      </c>
      <c r="G18" s="37"/>
      <c r="H18" s="56" t="s">
        <v>97</v>
      </c>
      <c r="I18" s="81">
        <f t="shared" ref="I18:I24" si="6">P18*SQRT(O18)</f>
        <v>1031.015095</v>
      </c>
      <c r="J18" s="34"/>
      <c r="K18" s="59"/>
      <c r="L18" s="82">
        <f t="shared" ref="L18:L24" si="7">E18/O18</f>
        <v>0.09990666667</v>
      </c>
      <c r="M18" s="82">
        <f t="shared" ref="M18:M24" si="8">F18/sqrt(O18)</f>
        <v>2.418005335</v>
      </c>
      <c r="N18" s="37"/>
      <c r="O18" s="83">
        <f t="shared" ref="O18:O24" si="9">6/0.508</f>
        <v>11.81102362</v>
      </c>
      <c r="P18" s="84">
        <v>300.0</v>
      </c>
      <c r="Q18" s="85">
        <v>20.0</v>
      </c>
      <c r="R18" s="154"/>
      <c r="S18" s="38"/>
      <c r="T18" s="197" t="s">
        <v>331</v>
      </c>
      <c r="U18" s="198"/>
      <c r="V18" s="198"/>
      <c r="W18" s="198"/>
      <c r="X18" s="198"/>
      <c r="Y18" s="198"/>
      <c r="Z18" s="198"/>
      <c r="AA18" s="198"/>
      <c r="AB18" s="198"/>
      <c r="AC18" s="38"/>
      <c r="AD18" s="38"/>
      <c r="AE18" s="48"/>
    </row>
    <row r="19">
      <c r="A19" s="196">
        <v>7.0</v>
      </c>
      <c r="B19" s="80" t="s">
        <v>330</v>
      </c>
      <c r="C19" s="59">
        <v>11.4</v>
      </c>
      <c r="D19" s="54" t="s">
        <v>96</v>
      </c>
      <c r="E19" s="59">
        <v>1.84</v>
      </c>
      <c r="F19" s="81">
        <v>7.44</v>
      </c>
      <c r="G19" s="37"/>
      <c r="H19" s="56" t="s">
        <v>97</v>
      </c>
      <c r="I19" s="81">
        <f t="shared" si="6"/>
        <v>1031.015095</v>
      </c>
      <c r="J19" s="34"/>
      <c r="K19" s="59"/>
      <c r="L19" s="82">
        <f t="shared" si="7"/>
        <v>0.1557866667</v>
      </c>
      <c r="M19" s="82">
        <f t="shared" si="8"/>
        <v>2.164856762</v>
      </c>
      <c r="N19" s="37"/>
      <c r="O19" s="83">
        <f t="shared" si="9"/>
        <v>11.81102362</v>
      </c>
      <c r="P19" s="84">
        <v>300.0</v>
      </c>
      <c r="Q19" s="85">
        <v>20.0</v>
      </c>
      <c r="R19" s="154"/>
      <c r="S19" s="199"/>
      <c r="T19" s="14"/>
      <c r="U19" s="14"/>
      <c r="V19" s="14"/>
      <c r="W19" s="14"/>
      <c r="X19" s="14"/>
      <c r="Y19" s="14"/>
      <c r="Z19" s="14"/>
      <c r="AA19" s="14"/>
      <c r="AB19" s="14"/>
      <c r="AC19" s="200"/>
      <c r="AD19" s="38"/>
      <c r="AE19" s="48"/>
    </row>
    <row r="20">
      <c r="A20" s="196">
        <v>8.0</v>
      </c>
      <c r="B20" s="80" t="s">
        <v>330</v>
      </c>
      <c r="C20" s="59">
        <v>16.0</v>
      </c>
      <c r="D20" s="54" t="s">
        <v>96</v>
      </c>
      <c r="E20" s="59">
        <v>2.6</v>
      </c>
      <c r="F20" s="81">
        <v>7.64</v>
      </c>
      <c r="G20" s="37"/>
      <c r="H20" s="56" t="s">
        <v>97</v>
      </c>
      <c r="I20" s="81">
        <f t="shared" si="6"/>
        <v>1031.015095</v>
      </c>
      <c r="J20" s="34"/>
      <c r="K20" s="59"/>
      <c r="L20" s="82">
        <f t="shared" si="7"/>
        <v>0.2201333333</v>
      </c>
      <c r="M20" s="82">
        <f t="shared" si="8"/>
        <v>2.223051836</v>
      </c>
      <c r="N20" s="37"/>
      <c r="O20" s="83">
        <f t="shared" si="9"/>
        <v>11.81102362</v>
      </c>
      <c r="P20" s="84">
        <v>300.0</v>
      </c>
      <c r="Q20" s="85">
        <v>20.0</v>
      </c>
      <c r="R20" s="154"/>
      <c r="S20" s="199"/>
      <c r="T20" s="14"/>
      <c r="U20" s="201"/>
      <c r="AB20" s="14"/>
      <c r="AC20" s="200"/>
      <c r="AD20" s="38"/>
      <c r="AE20" s="48"/>
    </row>
    <row r="21">
      <c r="A21" s="196">
        <v>9.0</v>
      </c>
      <c r="B21" s="80" t="s">
        <v>330</v>
      </c>
      <c r="C21" s="59">
        <v>20.0</v>
      </c>
      <c r="D21" s="54" t="s">
        <v>101</v>
      </c>
      <c r="E21" s="59">
        <v>3.62</v>
      </c>
      <c r="F21" s="81">
        <v>8.52</v>
      </c>
      <c r="G21" s="37"/>
      <c r="H21" s="56" t="s">
        <v>97</v>
      </c>
      <c r="I21" s="81">
        <f t="shared" si="6"/>
        <v>1031.015095</v>
      </c>
      <c r="J21" s="34"/>
      <c r="K21" s="59"/>
      <c r="L21" s="82">
        <f t="shared" si="7"/>
        <v>0.3064933333</v>
      </c>
      <c r="M21" s="82">
        <f t="shared" si="8"/>
        <v>2.479110163</v>
      </c>
      <c r="N21" s="37"/>
      <c r="O21" s="83">
        <f t="shared" si="9"/>
        <v>11.81102362</v>
      </c>
      <c r="P21" s="84">
        <v>300.0</v>
      </c>
      <c r="Q21" s="85">
        <v>20.0</v>
      </c>
      <c r="R21" s="154"/>
      <c r="S21" s="199"/>
      <c r="T21" s="14"/>
      <c r="U21" s="205"/>
      <c r="V21" s="208"/>
      <c r="Y21" s="201"/>
      <c r="AB21" s="14"/>
      <c r="AC21" s="200"/>
      <c r="AD21" s="38"/>
      <c r="AE21" s="48"/>
    </row>
    <row r="22">
      <c r="A22" s="196">
        <v>10.0</v>
      </c>
      <c r="B22" s="94" t="s">
        <v>330</v>
      </c>
      <c r="C22" s="95">
        <v>24.0</v>
      </c>
      <c r="D22" s="118" t="s">
        <v>101</v>
      </c>
      <c r="E22" s="95">
        <v>4.52</v>
      </c>
      <c r="F22" s="123">
        <v>9.45</v>
      </c>
      <c r="G22" s="16"/>
      <c r="H22" s="210" t="s">
        <v>97</v>
      </c>
      <c r="I22" s="123">
        <f t="shared" si="6"/>
        <v>1031.015095</v>
      </c>
      <c r="J22" s="124"/>
      <c r="K22" s="95"/>
      <c r="L22" s="126">
        <f t="shared" si="7"/>
        <v>0.3826933333</v>
      </c>
      <c r="M22" s="126">
        <f t="shared" si="8"/>
        <v>2.749717258</v>
      </c>
      <c r="N22" s="16"/>
      <c r="O22" s="128">
        <f t="shared" si="9"/>
        <v>11.81102362</v>
      </c>
      <c r="P22" s="130">
        <v>300.0</v>
      </c>
      <c r="Q22" s="130">
        <v>20.0</v>
      </c>
      <c r="R22" s="214"/>
      <c r="S22" s="220"/>
      <c r="T22" s="14"/>
      <c r="U22" s="205"/>
      <c r="V22" s="221"/>
      <c r="Y22" s="201"/>
      <c r="AB22" s="14"/>
      <c r="AC22" s="200"/>
      <c r="AD22" s="38"/>
      <c r="AE22" s="48"/>
    </row>
    <row r="23">
      <c r="A23" s="196">
        <v>11.0</v>
      </c>
      <c r="B23" s="137" t="s">
        <v>330</v>
      </c>
      <c r="C23" s="53">
        <v>16.0</v>
      </c>
      <c r="D23" s="54" t="s">
        <v>96</v>
      </c>
      <c r="E23" s="53">
        <v>2.6</v>
      </c>
      <c r="F23" s="138">
        <v>7.64</v>
      </c>
      <c r="G23" s="142"/>
      <c r="H23" s="142" t="s">
        <v>102</v>
      </c>
      <c r="I23" s="138">
        <f t="shared" si="6"/>
        <v>1031.015095</v>
      </c>
      <c r="J23" s="140"/>
      <c r="K23" s="53"/>
      <c r="L23" s="141">
        <f t="shared" si="7"/>
        <v>0.2201333333</v>
      </c>
      <c r="M23" s="141">
        <f t="shared" si="8"/>
        <v>2.223051836</v>
      </c>
      <c r="N23" s="142"/>
      <c r="O23" s="143">
        <f t="shared" si="9"/>
        <v>11.81102362</v>
      </c>
      <c r="P23" s="144">
        <v>300.0</v>
      </c>
      <c r="Q23" s="145">
        <v>20.0</v>
      </c>
      <c r="R23" s="228"/>
      <c r="S23" s="199"/>
      <c r="T23" s="14"/>
      <c r="U23" s="205"/>
      <c r="V23" s="221"/>
      <c r="Y23" s="201"/>
      <c r="AB23" s="14"/>
      <c r="AC23" s="200"/>
      <c r="AD23" s="38"/>
      <c r="AE23" s="48"/>
    </row>
    <row r="24">
      <c r="A24" s="196">
        <v>12.0</v>
      </c>
      <c r="B24" s="80" t="s">
        <v>330</v>
      </c>
      <c r="C24" s="59">
        <v>24.0</v>
      </c>
      <c r="D24" s="54" t="s">
        <v>96</v>
      </c>
      <c r="E24" s="59">
        <v>4.52</v>
      </c>
      <c r="F24" s="81">
        <v>9.45</v>
      </c>
      <c r="G24" s="37"/>
      <c r="H24" s="37" t="s">
        <v>102</v>
      </c>
      <c r="I24" s="81">
        <f t="shared" si="6"/>
        <v>1031.015095</v>
      </c>
      <c r="J24" s="34"/>
      <c r="K24" s="59"/>
      <c r="L24" s="82">
        <f t="shared" si="7"/>
        <v>0.3826933333</v>
      </c>
      <c r="M24" s="82">
        <f t="shared" si="8"/>
        <v>2.749717258</v>
      </c>
      <c r="N24" s="37"/>
      <c r="O24" s="83">
        <f t="shared" si="9"/>
        <v>11.81102362</v>
      </c>
      <c r="P24" s="84">
        <v>300.0</v>
      </c>
      <c r="Q24" s="85">
        <v>20.0</v>
      </c>
      <c r="R24" s="154"/>
      <c r="S24" s="199"/>
      <c r="T24" s="14"/>
      <c r="U24" s="205"/>
      <c r="V24" s="201"/>
      <c r="Y24" s="201"/>
      <c r="AB24" s="14"/>
      <c r="AC24" s="200"/>
      <c r="AD24" s="38"/>
      <c r="AE24" s="48"/>
    </row>
    <row r="25">
      <c r="A25" s="33"/>
      <c r="B25" s="233"/>
      <c r="C25" s="38"/>
      <c r="D25" s="38"/>
      <c r="E25" s="38"/>
      <c r="F25" s="199"/>
      <c r="G25" s="199"/>
      <c r="H25" s="38"/>
      <c r="I25" s="200"/>
      <c r="J25" s="154"/>
      <c r="K25" s="38"/>
      <c r="L25" s="43">
        <v>1.0</v>
      </c>
      <c r="M25" s="43">
        <v>3.172</v>
      </c>
      <c r="N25" s="43" t="s">
        <v>546</v>
      </c>
      <c r="O25" s="38"/>
      <c r="P25" s="199"/>
      <c r="Q25" s="234"/>
      <c r="R25" s="154"/>
      <c r="S25" s="236"/>
      <c r="T25" s="14"/>
      <c r="U25" s="205"/>
      <c r="V25" s="201"/>
      <c r="Y25" s="201"/>
      <c r="AB25" s="14"/>
      <c r="AC25" s="200"/>
      <c r="AD25" s="38"/>
      <c r="AE25" s="48"/>
    </row>
    <row r="26">
      <c r="A26" s="33"/>
      <c r="B26" s="200"/>
      <c r="C26" s="38"/>
      <c r="D26" s="38"/>
      <c r="E26" s="38"/>
      <c r="F26" s="199"/>
      <c r="G26" s="199"/>
      <c r="H26" s="38"/>
      <c r="I26" s="200"/>
      <c r="J26" s="154"/>
      <c r="K26" s="38"/>
      <c r="L26" s="43">
        <v>1.78</v>
      </c>
      <c r="M26" s="43">
        <v>4.365</v>
      </c>
      <c r="N26" s="43" t="s">
        <v>585</v>
      </c>
      <c r="O26" s="38"/>
      <c r="P26" s="199"/>
      <c r="Q26" s="234"/>
      <c r="R26" s="154"/>
      <c r="S26" s="236"/>
      <c r="T26" s="14"/>
      <c r="U26" s="205"/>
      <c r="V26" s="201"/>
      <c r="Y26" s="201"/>
      <c r="AB26" s="14"/>
      <c r="AC26" s="200"/>
      <c r="AD26" s="38"/>
      <c r="AE26" s="48"/>
    </row>
    <row r="27">
      <c r="A27" s="1"/>
      <c r="B27" s="1"/>
      <c r="C27" s="4" t="s">
        <v>595</v>
      </c>
      <c r="D27" s="6"/>
      <c r="E27" s="6"/>
      <c r="F27" s="6"/>
      <c r="G27" s="6"/>
      <c r="H27" s="6"/>
      <c r="I27" s="8"/>
      <c r="J27" s="9"/>
      <c r="K27" s="11" t="s">
        <v>6</v>
      </c>
      <c r="L27" s="6"/>
      <c r="M27" s="6"/>
      <c r="N27" s="6"/>
      <c r="O27" s="6"/>
      <c r="P27" s="6"/>
      <c r="Q27" s="8"/>
      <c r="R27" s="154"/>
      <c r="S27" s="236"/>
      <c r="T27" s="14"/>
      <c r="U27" s="205"/>
      <c r="V27" s="201"/>
      <c r="Y27" s="201"/>
      <c r="AB27" s="14"/>
      <c r="AC27" s="200"/>
      <c r="AD27" s="38"/>
      <c r="AE27" s="48"/>
    </row>
    <row r="28" ht="15.75" customHeight="1">
      <c r="A28" s="16"/>
      <c r="B28" s="16"/>
      <c r="C28" s="17" t="s">
        <v>33</v>
      </c>
      <c r="D28" s="18"/>
      <c r="E28" s="19" t="s">
        <v>34</v>
      </c>
      <c r="F28" s="20"/>
      <c r="G28" s="20"/>
      <c r="H28" s="21"/>
      <c r="I28" s="25" t="s">
        <v>35</v>
      </c>
      <c r="J28" s="34"/>
      <c r="K28" s="19" t="s">
        <v>34</v>
      </c>
      <c r="L28" s="20"/>
      <c r="M28" s="21"/>
      <c r="N28" s="37"/>
      <c r="O28" s="39" t="s">
        <v>35</v>
      </c>
      <c r="P28" s="20"/>
      <c r="Q28" s="21"/>
      <c r="R28" s="154"/>
      <c r="S28" s="199"/>
      <c r="T28" s="14"/>
      <c r="U28" s="14"/>
      <c r="V28" s="14"/>
      <c r="W28" s="14"/>
      <c r="X28" s="14"/>
      <c r="Y28" s="14"/>
      <c r="Z28" s="14"/>
      <c r="AA28" s="14"/>
      <c r="AB28" s="14"/>
      <c r="AC28" s="200"/>
      <c r="AD28" s="38"/>
      <c r="AE28" s="48"/>
    </row>
    <row r="29" ht="15.75" customHeight="1">
      <c r="A29" s="155" t="s">
        <v>51</v>
      </c>
      <c r="B29" s="156" t="s">
        <v>52</v>
      </c>
      <c r="C29" s="53" t="s">
        <v>60</v>
      </c>
      <c r="D29" s="54" t="s">
        <v>65</v>
      </c>
      <c r="E29" s="56" t="s">
        <v>67</v>
      </c>
      <c r="F29" s="56" t="s">
        <v>68</v>
      </c>
      <c r="G29" s="37"/>
      <c r="H29" s="58" t="s">
        <v>71</v>
      </c>
      <c r="I29" s="56" t="s">
        <v>73</v>
      </c>
      <c r="J29" s="34"/>
      <c r="K29" s="59" t="s">
        <v>74</v>
      </c>
      <c r="L29" s="56" t="s">
        <v>67</v>
      </c>
      <c r="M29" s="56" t="s">
        <v>68</v>
      </c>
      <c r="N29" s="37"/>
      <c r="O29" s="56" t="s">
        <v>75</v>
      </c>
      <c r="P29" s="56" t="s">
        <v>73</v>
      </c>
      <c r="Q29" s="56" t="s">
        <v>76</v>
      </c>
      <c r="R29" s="154"/>
      <c r="S29" s="199"/>
      <c r="T29" s="14"/>
      <c r="U29" s="14"/>
      <c r="V29" s="14"/>
      <c r="W29" s="14"/>
      <c r="X29" s="14"/>
      <c r="Y29" s="14"/>
      <c r="Z29" s="14"/>
      <c r="AA29" s="14"/>
      <c r="AB29" s="14"/>
      <c r="AC29" s="200"/>
      <c r="AD29" s="38"/>
      <c r="AE29" s="48"/>
    </row>
    <row r="30" ht="15.75" customHeight="1">
      <c r="A30" s="163"/>
      <c r="B30" s="163"/>
      <c r="C30" s="164" t="s">
        <v>77</v>
      </c>
      <c r="D30" s="62"/>
      <c r="E30" s="56" t="s">
        <v>81</v>
      </c>
      <c r="F30" s="56" t="s">
        <v>80</v>
      </c>
      <c r="G30" s="37"/>
      <c r="H30" s="163"/>
      <c r="I30" s="66" t="s">
        <v>82</v>
      </c>
      <c r="J30" s="34"/>
      <c r="K30" s="56" t="s">
        <v>78</v>
      </c>
      <c r="L30" s="56" t="s">
        <v>81</v>
      </c>
      <c r="M30" s="56" t="s">
        <v>80</v>
      </c>
      <c r="N30" s="37"/>
      <c r="O30" s="66" t="s">
        <v>649</v>
      </c>
      <c r="P30" s="67" t="s">
        <v>84</v>
      </c>
      <c r="Q30" s="67" t="s">
        <v>84</v>
      </c>
      <c r="R30" s="154"/>
      <c r="S30" s="220" t="s">
        <v>651</v>
      </c>
      <c r="T30" s="14"/>
      <c r="U30" s="14"/>
      <c r="V30" s="14"/>
      <c r="W30" s="14"/>
      <c r="X30" s="14"/>
      <c r="Y30" s="14"/>
      <c r="Z30" s="14"/>
      <c r="AA30" s="14"/>
      <c r="AB30" s="14"/>
      <c r="AC30" s="200"/>
      <c r="AD30" s="38"/>
      <c r="AE30" s="48"/>
    </row>
    <row r="31" ht="15.75" customHeight="1">
      <c r="A31" s="75"/>
      <c r="B31" s="75"/>
      <c r="C31" s="69" t="s">
        <v>85</v>
      </c>
      <c r="D31" s="78"/>
      <c r="E31" s="73" t="s">
        <v>87</v>
      </c>
      <c r="F31" s="73" t="s">
        <v>93</v>
      </c>
      <c r="G31" s="78"/>
      <c r="H31" s="75"/>
      <c r="I31" s="73" t="s">
        <v>93</v>
      </c>
      <c r="J31" s="76"/>
      <c r="K31" s="73" t="s">
        <v>87</v>
      </c>
      <c r="L31" s="73" t="s">
        <v>87</v>
      </c>
      <c r="M31" s="73" t="s">
        <v>93</v>
      </c>
      <c r="N31" s="78"/>
      <c r="O31" s="79" t="s">
        <v>84</v>
      </c>
      <c r="P31" s="73" t="s">
        <v>93</v>
      </c>
      <c r="Q31" s="73" t="s">
        <v>93</v>
      </c>
      <c r="R31" s="154"/>
      <c r="S31" s="199"/>
      <c r="T31" s="245" t="s">
        <v>664</v>
      </c>
      <c r="U31" s="14"/>
      <c r="V31" s="14"/>
      <c r="W31" s="14"/>
      <c r="X31" s="14"/>
      <c r="Y31" s="14"/>
      <c r="Z31" s="14"/>
      <c r="AA31" s="14"/>
      <c r="AB31" s="14"/>
      <c r="AC31" s="200"/>
      <c r="AD31" s="38"/>
      <c r="AE31" s="48"/>
    </row>
    <row r="32" ht="15.75" customHeight="1">
      <c r="A32" s="196">
        <v>13.0</v>
      </c>
      <c r="B32" s="80" t="s">
        <v>95</v>
      </c>
      <c r="C32" s="59">
        <v>6.0</v>
      </c>
      <c r="D32" s="54" t="s">
        <v>96</v>
      </c>
      <c r="E32" s="81">
        <f t="shared" ref="E32:E33" si="10">L32*O32</f>
        <v>16.53543307</v>
      </c>
      <c r="F32" s="59" t="s">
        <v>84</v>
      </c>
      <c r="G32" s="37"/>
      <c r="H32" s="59" t="s">
        <v>786</v>
      </c>
      <c r="I32" s="81">
        <f t="shared" ref="I32:I42" si="11">P32*SQRT(O32)</f>
        <v>1031.015095</v>
      </c>
      <c r="J32" s="34"/>
      <c r="K32" s="59">
        <v>1.69</v>
      </c>
      <c r="L32" s="82">
        <v>1.4</v>
      </c>
      <c r="M32" s="82" t="s">
        <v>84</v>
      </c>
      <c r="N32" s="37"/>
      <c r="O32" s="83">
        <f t="shared" ref="O32:O42" si="12">6/0.508</f>
        <v>11.81102362</v>
      </c>
      <c r="P32" s="84">
        <v>300.0</v>
      </c>
      <c r="Q32" s="85">
        <v>20.0</v>
      </c>
      <c r="R32" s="154"/>
      <c r="S32" s="199"/>
      <c r="T32" s="245" t="s">
        <v>802</v>
      </c>
      <c r="U32" s="14"/>
      <c r="V32" s="14"/>
      <c r="W32" s="14"/>
      <c r="X32" s="14"/>
      <c r="Y32" s="14"/>
      <c r="Z32" s="14"/>
      <c r="AA32" s="14"/>
      <c r="AB32" s="14"/>
      <c r="AC32" s="200"/>
      <c r="AD32" s="38"/>
      <c r="AE32" s="48"/>
    </row>
    <row r="33" ht="15.75" customHeight="1">
      <c r="A33" s="196">
        <v>14.0</v>
      </c>
      <c r="B33" s="80" t="s">
        <v>95</v>
      </c>
      <c r="C33" s="59">
        <v>12.0</v>
      </c>
      <c r="D33" s="54" t="s">
        <v>96</v>
      </c>
      <c r="E33" s="81">
        <f t="shared" si="10"/>
        <v>11.81102362</v>
      </c>
      <c r="F33" s="81" t="s">
        <v>84</v>
      </c>
      <c r="G33" s="37"/>
      <c r="H33" s="59" t="s">
        <v>786</v>
      </c>
      <c r="I33" s="81">
        <f t="shared" si="11"/>
        <v>1031.015095</v>
      </c>
      <c r="J33" s="34"/>
      <c r="K33" s="59">
        <v>1.69</v>
      </c>
      <c r="L33" s="82">
        <v>1.0</v>
      </c>
      <c r="M33" s="82" t="s">
        <v>84</v>
      </c>
      <c r="N33" s="37"/>
      <c r="O33" s="83">
        <f t="shared" si="12"/>
        <v>11.81102362</v>
      </c>
      <c r="P33" s="84">
        <v>300.0</v>
      </c>
      <c r="Q33" s="85">
        <v>20.0</v>
      </c>
      <c r="R33" s="154"/>
      <c r="S33" s="199"/>
      <c r="T33" s="245" t="s">
        <v>822</v>
      </c>
      <c r="U33" s="14"/>
      <c r="V33" s="14"/>
      <c r="W33" s="14"/>
      <c r="X33" s="14"/>
      <c r="Y33" s="14"/>
      <c r="Z33" s="14"/>
      <c r="AA33" s="14"/>
      <c r="AB33" s="14"/>
      <c r="AC33" s="200"/>
      <c r="AD33" s="38"/>
      <c r="AE33" s="48"/>
    </row>
    <row r="34" ht="15.75" customHeight="1">
      <c r="A34" s="196">
        <v>15.0</v>
      </c>
      <c r="B34" s="80" t="s">
        <v>95</v>
      </c>
      <c r="C34" s="59">
        <v>16.0</v>
      </c>
      <c r="D34" s="54" t="s">
        <v>96</v>
      </c>
      <c r="E34" s="81">
        <v>6.0</v>
      </c>
      <c r="F34" s="81" t="s">
        <v>84</v>
      </c>
      <c r="G34" s="37"/>
      <c r="H34" s="59" t="s">
        <v>786</v>
      </c>
      <c r="I34" s="81">
        <f t="shared" si="11"/>
        <v>1031.015095</v>
      </c>
      <c r="J34" s="34"/>
      <c r="K34" s="59">
        <v>1.69</v>
      </c>
      <c r="L34" s="82">
        <f t="shared" ref="L34:L36" si="13">E34/O34</f>
        <v>0.508</v>
      </c>
      <c r="M34" s="82" t="s">
        <v>84</v>
      </c>
      <c r="N34" s="37"/>
      <c r="O34" s="83">
        <f t="shared" si="12"/>
        <v>11.81102362</v>
      </c>
      <c r="P34" s="84">
        <v>300.0</v>
      </c>
      <c r="Q34" s="85">
        <v>20.0</v>
      </c>
      <c r="R34" s="154"/>
      <c r="S34" s="199"/>
      <c r="T34" s="14"/>
      <c r="U34" s="245" t="s">
        <v>847</v>
      </c>
      <c r="V34" s="14"/>
      <c r="W34" s="245">
        <v>0.2</v>
      </c>
      <c r="X34" s="14"/>
      <c r="Y34" s="14"/>
      <c r="Z34" s="14"/>
      <c r="AA34" s="14"/>
      <c r="AB34" s="14"/>
      <c r="AC34" s="200"/>
      <c r="AD34" s="38"/>
      <c r="AE34" s="48"/>
    </row>
    <row r="35" ht="15.75" customHeight="1">
      <c r="A35" s="196">
        <v>16.0</v>
      </c>
      <c r="B35" s="80" t="s">
        <v>95</v>
      </c>
      <c r="C35" s="59">
        <v>6.0</v>
      </c>
      <c r="D35" s="54" t="s">
        <v>96</v>
      </c>
      <c r="E35" s="81">
        <v>4.52</v>
      </c>
      <c r="F35" s="59" t="s">
        <v>84</v>
      </c>
      <c r="G35" s="37"/>
      <c r="H35" s="59" t="s">
        <v>786</v>
      </c>
      <c r="I35" s="81">
        <f t="shared" si="11"/>
        <v>1031.015095</v>
      </c>
      <c r="J35" s="34"/>
      <c r="K35" s="59">
        <v>1.69</v>
      </c>
      <c r="L35" s="82">
        <f t="shared" si="13"/>
        <v>0.3826933333</v>
      </c>
      <c r="M35" s="82" t="s">
        <v>84</v>
      </c>
      <c r="O35" s="83">
        <f t="shared" si="12"/>
        <v>11.81102362</v>
      </c>
      <c r="P35" s="84">
        <v>300.0</v>
      </c>
      <c r="Q35" s="85">
        <v>20.0</v>
      </c>
      <c r="R35" s="154"/>
      <c r="S35" s="199"/>
      <c r="T35" s="14"/>
      <c r="U35" s="245" t="s">
        <v>230</v>
      </c>
      <c r="V35" s="14"/>
      <c r="W35" s="245" t="s">
        <v>876</v>
      </c>
      <c r="X35" s="14"/>
      <c r="Y35" s="14"/>
      <c r="Z35" s="14"/>
      <c r="AA35" s="14"/>
      <c r="AB35" s="14"/>
      <c r="AC35" s="200"/>
      <c r="AD35" s="38"/>
      <c r="AE35" s="48"/>
    </row>
    <row r="36" ht="15.75" customHeight="1">
      <c r="A36" s="196">
        <v>17.0</v>
      </c>
      <c r="B36" s="80" t="s">
        <v>95</v>
      </c>
      <c r="C36" s="59">
        <v>6.0</v>
      </c>
      <c r="D36" s="54" t="s">
        <v>96</v>
      </c>
      <c r="E36" s="81">
        <v>2.0</v>
      </c>
      <c r="F36" s="59" t="s">
        <v>84</v>
      </c>
      <c r="G36" s="37"/>
      <c r="H36" s="59" t="s">
        <v>786</v>
      </c>
      <c r="I36" s="81">
        <f t="shared" si="11"/>
        <v>1031.015095</v>
      </c>
      <c r="J36" s="34"/>
      <c r="K36" s="59">
        <v>1.69</v>
      </c>
      <c r="L36" s="82">
        <f t="shared" si="13"/>
        <v>0.1693333333</v>
      </c>
      <c r="M36" s="82" t="s">
        <v>84</v>
      </c>
      <c r="O36" s="83">
        <f t="shared" si="12"/>
        <v>11.81102362</v>
      </c>
      <c r="P36" s="84">
        <v>300.0</v>
      </c>
      <c r="Q36" s="85">
        <v>20.0</v>
      </c>
      <c r="R36" s="154"/>
      <c r="S36" s="199"/>
      <c r="T36" s="14"/>
      <c r="U36" s="14"/>
      <c r="V36" s="14"/>
      <c r="W36" s="14"/>
      <c r="X36" s="14"/>
      <c r="Y36" s="14"/>
      <c r="Z36" s="14"/>
      <c r="AA36" s="14"/>
      <c r="AB36" s="14"/>
      <c r="AC36" s="200"/>
      <c r="AD36" s="38"/>
      <c r="AE36" s="48"/>
    </row>
    <row r="37" ht="15.75" customHeight="1">
      <c r="A37" s="196">
        <v>18.0</v>
      </c>
      <c r="B37" s="80" t="s">
        <v>95</v>
      </c>
      <c r="C37" s="59">
        <v>20.0</v>
      </c>
      <c r="D37" s="54" t="s">
        <v>101</v>
      </c>
      <c r="E37" s="81">
        <f t="shared" ref="E37:E42" si="14">L37*O37</f>
        <v>5.905511811</v>
      </c>
      <c r="F37" s="81">
        <f t="shared" ref="F37:F39" si="15">M37*sqrt(O37)</f>
        <v>17.18358492</v>
      </c>
      <c r="G37" s="37"/>
      <c r="H37" s="56" t="s">
        <v>97</v>
      </c>
      <c r="I37" s="81">
        <f t="shared" si="11"/>
        <v>1031.015095</v>
      </c>
      <c r="J37" s="34"/>
      <c r="K37" s="59">
        <v>1.69</v>
      </c>
      <c r="L37" s="82">
        <v>0.5</v>
      </c>
      <c r="M37" s="82">
        <v>5.0</v>
      </c>
      <c r="N37" s="37"/>
      <c r="O37" s="83">
        <f t="shared" si="12"/>
        <v>11.81102362</v>
      </c>
      <c r="P37" s="84">
        <v>300.0</v>
      </c>
      <c r="Q37" s="85">
        <v>20.0</v>
      </c>
      <c r="R37" s="154"/>
      <c r="S37" s="199"/>
      <c r="T37" s="14"/>
      <c r="U37" s="14"/>
      <c r="V37" s="14"/>
      <c r="W37" s="14"/>
      <c r="X37" s="14"/>
      <c r="Y37" s="14"/>
      <c r="Z37" s="14"/>
      <c r="AA37" s="14"/>
      <c r="AB37" s="14"/>
      <c r="AC37" s="200"/>
      <c r="AD37" s="38"/>
      <c r="AE37" s="48"/>
    </row>
    <row r="38" ht="15.75" customHeight="1">
      <c r="A38" s="196">
        <v>19.0</v>
      </c>
      <c r="B38" s="80" t="s">
        <v>95</v>
      </c>
      <c r="C38" s="59">
        <v>20.0</v>
      </c>
      <c r="D38" s="54" t="s">
        <v>101</v>
      </c>
      <c r="E38" s="81">
        <f t="shared" si="14"/>
        <v>2.952755906</v>
      </c>
      <c r="F38" s="81">
        <f t="shared" si="15"/>
        <v>17.18358492</v>
      </c>
      <c r="G38" s="37"/>
      <c r="H38" s="56" t="s">
        <v>97</v>
      </c>
      <c r="I38" s="81">
        <f t="shared" si="11"/>
        <v>1031.015095</v>
      </c>
      <c r="J38" s="34"/>
      <c r="K38" s="59">
        <v>1.69</v>
      </c>
      <c r="L38" s="82">
        <v>0.25</v>
      </c>
      <c r="M38" s="82">
        <v>5.0</v>
      </c>
      <c r="N38" s="37"/>
      <c r="O38" s="83">
        <f t="shared" si="12"/>
        <v>11.81102362</v>
      </c>
      <c r="P38" s="84">
        <v>300.0</v>
      </c>
      <c r="Q38" s="85">
        <v>20.0</v>
      </c>
      <c r="R38" s="154"/>
      <c r="S38" s="199"/>
      <c r="T38" s="14"/>
      <c r="U38" s="14"/>
      <c r="V38" s="14"/>
      <c r="W38" s="14"/>
      <c r="X38" s="14"/>
      <c r="Y38" s="14"/>
      <c r="Z38" s="14"/>
      <c r="AA38" s="14"/>
      <c r="AB38" s="14"/>
      <c r="AC38" s="200"/>
      <c r="AD38" s="38"/>
      <c r="AE38" s="48"/>
    </row>
    <row r="39" ht="15.75" customHeight="1">
      <c r="A39" s="196">
        <v>20.0</v>
      </c>
      <c r="B39" s="94" t="s">
        <v>95</v>
      </c>
      <c r="C39" s="95">
        <v>24.0</v>
      </c>
      <c r="D39" s="118" t="s">
        <v>101</v>
      </c>
      <c r="E39" s="123">
        <f t="shared" si="14"/>
        <v>5.905511811</v>
      </c>
      <c r="F39" s="123">
        <f t="shared" si="15"/>
        <v>24.05701888</v>
      </c>
      <c r="G39" s="16"/>
      <c r="H39" s="210" t="s">
        <v>97</v>
      </c>
      <c r="I39" s="123">
        <f t="shared" si="11"/>
        <v>1031.015095</v>
      </c>
      <c r="J39" s="124"/>
      <c r="K39" s="95">
        <v>1.69</v>
      </c>
      <c r="L39" s="126">
        <v>0.5</v>
      </c>
      <c r="M39" s="126">
        <v>7.0</v>
      </c>
      <c r="N39" s="16"/>
      <c r="O39" s="128">
        <f t="shared" si="12"/>
        <v>11.81102362</v>
      </c>
      <c r="P39" s="130">
        <v>300.0</v>
      </c>
      <c r="Q39" s="130">
        <v>20.0</v>
      </c>
      <c r="R39" s="154"/>
      <c r="S39" s="199"/>
      <c r="T39" s="14"/>
      <c r="U39" s="14"/>
      <c r="V39" s="14"/>
      <c r="W39" s="14"/>
      <c r="X39" s="14"/>
      <c r="Y39" s="14"/>
      <c r="Z39" s="14"/>
      <c r="AA39" s="14"/>
      <c r="AB39" s="14"/>
      <c r="AC39" s="200"/>
      <c r="AD39" s="38"/>
      <c r="AE39" s="48"/>
    </row>
    <row r="40" ht="15.75" customHeight="1">
      <c r="A40" s="196">
        <v>21.0</v>
      </c>
      <c r="B40" s="137" t="s">
        <v>95</v>
      </c>
      <c r="C40" s="53">
        <v>16.0</v>
      </c>
      <c r="D40" s="54" t="s">
        <v>96</v>
      </c>
      <c r="E40" s="138">
        <f t="shared" si="14"/>
        <v>7.086614173</v>
      </c>
      <c r="F40" s="138">
        <f t="shared" ref="F40:F42" si="16">sqrt(O40)*M40</f>
        <v>17.18358492</v>
      </c>
      <c r="G40" s="142"/>
      <c r="H40" s="274" t="s">
        <v>880</v>
      </c>
      <c r="I40" s="138">
        <f t="shared" si="11"/>
        <v>1031.015095</v>
      </c>
      <c r="J40" s="140"/>
      <c r="K40" s="53">
        <v>1.69</v>
      </c>
      <c r="L40" s="141">
        <v>0.6</v>
      </c>
      <c r="M40" s="141">
        <v>5.0</v>
      </c>
      <c r="N40" s="142"/>
      <c r="O40" s="143">
        <f t="shared" si="12"/>
        <v>11.81102362</v>
      </c>
      <c r="P40" s="144">
        <v>300.0</v>
      </c>
      <c r="Q40" s="145">
        <v>20.0</v>
      </c>
      <c r="R40" s="154"/>
      <c r="S40" s="199"/>
      <c r="T40" s="14"/>
      <c r="U40" s="14"/>
      <c r="V40" s="14"/>
      <c r="W40" s="14"/>
      <c r="X40" s="14"/>
      <c r="Y40" s="14"/>
      <c r="Z40" s="14"/>
      <c r="AA40" s="14"/>
      <c r="AB40" s="14"/>
      <c r="AC40" s="200"/>
      <c r="AD40" s="38"/>
      <c r="AE40" s="48"/>
    </row>
    <row r="41" ht="15.75" customHeight="1">
      <c r="A41" s="196">
        <v>22.0</v>
      </c>
      <c r="B41" s="80" t="s">
        <v>95</v>
      </c>
      <c r="C41" s="59">
        <v>24.0</v>
      </c>
      <c r="D41" s="54" t="s">
        <v>96</v>
      </c>
      <c r="E41" s="138">
        <f t="shared" si="14"/>
        <v>3.543307087</v>
      </c>
      <c r="F41" s="138">
        <f t="shared" si="16"/>
        <v>24.05701888</v>
      </c>
      <c r="G41" s="37"/>
      <c r="H41" s="282" t="s">
        <v>880</v>
      </c>
      <c r="I41" s="81">
        <f t="shared" si="11"/>
        <v>1031.015095</v>
      </c>
      <c r="J41" s="34"/>
      <c r="K41" s="59">
        <v>1.69</v>
      </c>
      <c r="L41" s="82">
        <v>0.3</v>
      </c>
      <c r="M41" s="82">
        <v>7.0</v>
      </c>
      <c r="N41" s="37"/>
      <c r="O41" s="83">
        <f t="shared" si="12"/>
        <v>11.81102362</v>
      </c>
      <c r="P41" s="84">
        <v>300.0</v>
      </c>
      <c r="Q41" s="85">
        <v>20.0</v>
      </c>
      <c r="R41" s="154"/>
      <c r="S41" s="199"/>
      <c r="T41" s="14"/>
      <c r="U41" s="14"/>
      <c r="V41" s="14"/>
      <c r="W41" s="14"/>
      <c r="X41" s="14"/>
      <c r="Y41" s="14"/>
      <c r="Z41" s="14"/>
      <c r="AA41" s="14"/>
      <c r="AB41" s="14"/>
      <c r="AC41" s="200"/>
      <c r="AD41" s="38"/>
      <c r="AE41" s="48"/>
    </row>
    <row r="42" ht="15.75" customHeight="1">
      <c r="A42" s="196">
        <v>23.0</v>
      </c>
      <c r="B42" s="80" t="s">
        <v>95</v>
      </c>
      <c r="C42" s="59">
        <v>24.0</v>
      </c>
      <c r="D42" s="54" t="s">
        <v>96</v>
      </c>
      <c r="E42" s="138">
        <f t="shared" si="14"/>
        <v>4.724409449</v>
      </c>
      <c r="F42" s="138">
        <f t="shared" si="16"/>
        <v>20.6203019</v>
      </c>
      <c r="G42" s="37"/>
      <c r="H42" s="282" t="s">
        <v>880</v>
      </c>
      <c r="I42" s="81">
        <f t="shared" si="11"/>
        <v>1031.015095</v>
      </c>
      <c r="J42" s="34"/>
      <c r="K42" s="59">
        <v>1.69</v>
      </c>
      <c r="L42" s="82">
        <v>0.4</v>
      </c>
      <c r="M42" s="82">
        <v>6.0</v>
      </c>
      <c r="N42" s="37"/>
      <c r="O42" s="83">
        <f t="shared" si="12"/>
        <v>11.81102362</v>
      </c>
      <c r="P42" s="84">
        <v>300.0</v>
      </c>
      <c r="Q42" s="85">
        <v>20.0</v>
      </c>
      <c r="R42" s="154"/>
      <c r="S42" s="199"/>
      <c r="T42" s="14"/>
      <c r="U42" s="14"/>
      <c r="V42" s="14"/>
      <c r="W42" s="14"/>
      <c r="X42" s="14"/>
      <c r="Y42" s="14"/>
      <c r="Z42" s="14"/>
      <c r="AA42" s="14"/>
      <c r="AB42" s="14"/>
      <c r="AC42" s="200"/>
      <c r="AD42" s="38"/>
      <c r="AE42" s="48"/>
    </row>
    <row r="43" ht="15.75" customHeight="1">
      <c r="A43" s="33"/>
      <c r="B43" s="200"/>
      <c r="C43" s="38"/>
      <c r="D43" s="38"/>
      <c r="E43" s="38"/>
      <c r="F43" s="199"/>
      <c r="G43" s="199"/>
      <c r="H43" s="38"/>
      <c r="I43" s="200"/>
      <c r="J43" s="154"/>
      <c r="K43" s="38"/>
      <c r="L43" s="38"/>
      <c r="M43" s="38"/>
      <c r="N43" s="38"/>
      <c r="O43" s="38"/>
      <c r="P43" s="199"/>
      <c r="Q43" s="293"/>
      <c r="R43" s="154"/>
      <c r="S43" s="199"/>
      <c r="T43" s="14"/>
      <c r="U43" s="14"/>
      <c r="V43" s="14"/>
      <c r="W43" s="14"/>
      <c r="X43" s="14"/>
      <c r="Y43" s="14"/>
      <c r="Z43" s="14"/>
      <c r="AA43" s="14"/>
      <c r="AB43" s="14"/>
      <c r="AC43" s="200"/>
      <c r="AD43" s="38"/>
      <c r="AE43" s="48"/>
    </row>
    <row r="44" ht="15.75" customHeight="1">
      <c r="A44" s="33"/>
      <c r="B44" s="200"/>
      <c r="C44" s="38"/>
      <c r="D44" s="38"/>
      <c r="E44" s="38"/>
      <c r="F44" s="199"/>
      <c r="G44" s="199"/>
      <c r="H44" s="38"/>
      <c r="I44" s="200"/>
      <c r="J44" s="154"/>
      <c r="K44" s="38"/>
      <c r="L44" s="38"/>
      <c r="M44" s="38"/>
      <c r="N44" s="38"/>
      <c r="O44" s="38"/>
      <c r="P44" s="199"/>
      <c r="Q44" s="293"/>
      <c r="R44" s="154"/>
      <c r="S44" s="199"/>
      <c r="T44" s="14"/>
      <c r="U44" s="14"/>
      <c r="V44" s="14"/>
      <c r="W44" s="14"/>
      <c r="X44" s="14"/>
      <c r="Y44" s="14"/>
      <c r="Z44" s="14"/>
      <c r="AA44" s="14"/>
      <c r="AB44" s="14"/>
      <c r="AC44" s="200"/>
      <c r="AD44" s="38"/>
      <c r="AE44" s="48"/>
    </row>
    <row r="45" ht="15.75" customHeight="1">
      <c r="A45" s="33"/>
      <c r="B45" s="200"/>
      <c r="C45" s="38"/>
      <c r="D45" s="38"/>
      <c r="E45" s="38"/>
      <c r="F45" s="38"/>
      <c r="G45" s="38"/>
      <c r="H45" s="38"/>
      <c r="I45" s="38"/>
      <c r="J45" s="154"/>
      <c r="K45" s="38"/>
      <c r="L45" s="38"/>
      <c r="M45" s="38"/>
      <c r="N45" s="38"/>
      <c r="O45" s="38"/>
      <c r="P45" s="38"/>
      <c r="Q45" s="38"/>
      <c r="R45" s="154"/>
      <c r="S45" s="38"/>
      <c r="T45" s="38"/>
      <c r="U45" s="38"/>
      <c r="V45" s="38"/>
      <c r="W45" s="38"/>
      <c r="X45" s="38"/>
      <c r="Y45" s="38"/>
      <c r="Z45" s="38"/>
      <c r="AA45" s="38"/>
      <c r="AB45" s="38"/>
      <c r="AC45" s="38"/>
      <c r="AD45" s="38"/>
      <c r="AE45" s="48"/>
    </row>
    <row r="46" ht="15.75" customHeight="1">
      <c r="A46" s="33"/>
      <c r="B46" s="296"/>
      <c r="C46" s="296"/>
      <c r="D46" s="151" t="s">
        <v>1057</v>
      </c>
      <c r="E46" s="296"/>
      <c r="F46" s="5"/>
      <c r="G46" s="5"/>
      <c r="H46" s="5"/>
      <c r="I46" s="5"/>
      <c r="J46" s="154"/>
      <c r="K46" s="38"/>
      <c r="L46" s="38"/>
      <c r="M46" s="38"/>
      <c r="N46" s="38"/>
      <c r="O46" s="38"/>
      <c r="P46" s="38"/>
      <c r="Q46" s="38"/>
      <c r="R46" s="154"/>
      <c r="S46" s="38"/>
      <c r="T46" s="38"/>
      <c r="U46" s="38"/>
      <c r="V46" s="38"/>
      <c r="W46" s="38"/>
      <c r="X46" s="38"/>
      <c r="Y46" s="38"/>
      <c r="Z46" s="38"/>
      <c r="AA46" s="38"/>
      <c r="AB46" s="38"/>
      <c r="AC46" s="38"/>
      <c r="AD46" s="38"/>
      <c r="AE46" s="48"/>
    </row>
    <row r="47" ht="15.75" customHeight="1">
      <c r="A47" s="33"/>
      <c r="B47" s="112"/>
      <c r="C47" s="112"/>
      <c r="D47" s="112" t="s">
        <v>1074</v>
      </c>
      <c r="E47" s="112"/>
      <c r="F47" s="112"/>
      <c r="G47" s="112"/>
      <c r="H47" s="112"/>
      <c r="I47" s="112"/>
      <c r="J47" s="154"/>
      <c r="K47" s="38"/>
      <c r="L47" s="38"/>
      <c r="M47" s="38"/>
      <c r="N47" s="38"/>
      <c r="O47" s="38"/>
      <c r="P47" s="38"/>
      <c r="Q47" s="38"/>
      <c r="R47" s="154"/>
      <c r="S47" s="38"/>
      <c r="T47" s="38"/>
      <c r="U47" s="38"/>
      <c r="V47" s="38"/>
      <c r="W47" s="38"/>
      <c r="X47" s="38"/>
      <c r="Y47" s="38"/>
      <c r="Z47" s="38"/>
      <c r="AA47" s="38"/>
      <c r="AB47" s="38"/>
      <c r="AC47" s="38"/>
      <c r="AD47" s="38"/>
      <c r="AE47" s="48"/>
    </row>
    <row r="48" ht="15.75" customHeight="1">
      <c r="A48" s="33">
        <v>1.0</v>
      </c>
      <c r="B48" s="7" t="s">
        <v>1089</v>
      </c>
      <c r="C48" s="38"/>
      <c r="D48" s="38"/>
      <c r="E48" s="38"/>
      <c r="F48" s="38"/>
      <c r="G48" s="38"/>
      <c r="H48" s="38"/>
      <c r="I48" s="38"/>
      <c r="J48" s="154"/>
      <c r="K48" s="38"/>
      <c r="L48" s="38"/>
      <c r="M48" s="38"/>
      <c r="N48" s="38"/>
      <c r="O48" s="38"/>
      <c r="P48" s="38"/>
      <c r="Q48" s="38"/>
      <c r="R48" s="154"/>
      <c r="S48" s="38"/>
      <c r="T48" s="38"/>
      <c r="U48" s="38"/>
      <c r="V48" s="38"/>
      <c r="W48" s="38"/>
      <c r="X48" s="38"/>
      <c r="Y48" s="38"/>
      <c r="Z48" s="38"/>
      <c r="AA48" s="38"/>
      <c r="AB48" s="38"/>
      <c r="AC48" s="38"/>
      <c r="AD48" s="38"/>
      <c r="AE48" s="48"/>
    </row>
    <row r="49" ht="15.75" customHeight="1">
      <c r="A49" s="33">
        <v>2.0</v>
      </c>
      <c r="B49" s="7" t="s">
        <v>1094</v>
      </c>
      <c r="C49" s="38"/>
      <c r="D49" s="38"/>
      <c r="E49" s="38"/>
      <c r="F49" s="38"/>
      <c r="G49" s="38"/>
      <c r="H49" s="38"/>
      <c r="I49" s="38"/>
      <c r="J49" s="154"/>
      <c r="K49" s="38"/>
      <c r="L49" s="38"/>
      <c r="M49" s="38"/>
      <c r="N49" s="38"/>
      <c r="O49" s="38"/>
      <c r="P49" s="38"/>
      <c r="Q49" s="38"/>
      <c r="R49" s="154"/>
      <c r="S49" s="38"/>
      <c r="T49" s="38"/>
      <c r="U49" s="38"/>
      <c r="V49" s="38"/>
      <c r="W49" s="38"/>
      <c r="X49" s="38"/>
      <c r="Y49" s="38"/>
      <c r="Z49" s="38"/>
      <c r="AA49" s="38"/>
      <c r="AB49" s="38"/>
      <c r="AC49" s="38"/>
      <c r="AD49" s="38"/>
      <c r="AE49" s="48"/>
    </row>
    <row r="50" ht="15.75" customHeight="1">
      <c r="A50" s="33">
        <v>3.0</v>
      </c>
      <c r="B50" s="7" t="s">
        <v>1111</v>
      </c>
      <c r="C50" s="38"/>
      <c r="D50" s="38"/>
      <c r="E50" s="38"/>
      <c r="F50" s="38"/>
      <c r="G50" s="38"/>
      <c r="H50" s="38"/>
      <c r="I50" s="38"/>
      <c r="J50" s="154"/>
      <c r="K50" s="38"/>
      <c r="L50" s="38"/>
      <c r="M50" s="38"/>
      <c r="N50" s="38"/>
      <c r="O50" s="38"/>
      <c r="P50" s="38"/>
      <c r="Q50" s="38"/>
      <c r="R50" s="154"/>
      <c r="S50" s="38"/>
      <c r="T50" s="38"/>
      <c r="U50" s="38"/>
      <c r="V50" s="38"/>
      <c r="W50" s="38"/>
      <c r="X50" s="38"/>
      <c r="Y50" s="38"/>
      <c r="Z50" s="38"/>
      <c r="AA50" s="38"/>
      <c r="AB50" s="38"/>
      <c r="AC50" s="38"/>
      <c r="AD50" s="38"/>
      <c r="AE50" s="48"/>
    </row>
    <row r="51" ht="15.75" customHeight="1">
      <c r="A51" s="33">
        <v>4.0</v>
      </c>
      <c r="B51" s="7" t="s">
        <v>1117</v>
      </c>
      <c r="C51" s="38"/>
      <c r="D51" s="38"/>
      <c r="E51" s="38"/>
      <c r="F51" s="38"/>
      <c r="G51" s="38"/>
      <c r="H51" s="38"/>
      <c r="I51" s="38"/>
      <c r="J51" s="154"/>
      <c r="K51" s="38"/>
      <c r="L51" s="38"/>
      <c r="M51" s="38"/>
      <c r="N51" s="38"/>
      <c r="O51" s="38"/>
      <c r="P51" s="38"/>
      <c r="Q51" s="38"/>
      <c r="R51" s="154"/>
      <c r="S51" s="38"/>
      <c r="T51" s="38"/>
      <c r="U51" s="38"/>
      <c r="V51" s="38"/>
      <c r="W51" s="38"/>
      <c r="X51" s="38"/>
      <c r="Y51" s="38"/>
      <c r="Z51" s="38"/>
      <c r="AA51" s="38"/>
      <c r="AB51" s="38"/>
      <c r="AC51" s="38"/>
      <c r="AD51" s="38"/>
      <c r="AE51" s="48"/>
    </row>
    <row r="52" ht="15.75" customHeight="1">
      <c r="A52" s="33"/>
      <c r="B52" s="200"/>
      <c r="C52" s="38"/>
      <c r="D52" s="38"/>
      <c r="E52" s="38"/>
      <c r="F52" s="38"/>
      <c r="G52" s="38"/>
      <c r="H52" s="38"/>
      <c r="I52" s="38"/>
      <c r="J52" s="154"/>
      <c r="K52" s="38"/>
      <c r="L52" s="38"/>
      <c r="M52" s="38"/>
      <c r="N52" s="38"/>
      <c r="O52" s="38"/>
      <c r="P52" s="38"/>
      <c r="Q52" s="38"/>
      <c r="R52" s="154"/>
      <c r="S52" s="38"/>
      <c r="T52" s="38"/>
      <c r="U52" s="38"/>
      <c r="V52" s="38"/>
      <c r="W52" s="38"/>
      <c r="X52" s="38"/>
      <c r="Y52" s="38"/>
      <c r="Z52" s="38"/>
      <c r="AA52" s="38"/>
      <c r="AB52" s="38"/>
      <c r="AC52" s="38"/>
      <c r="AD52" s="38"/>
      <c r="AE52" s="48"/>
    </row>
    <row r="53" ht="15.75" customHeight="1">
      <c r="A53" s="33"/>
      <c r="B53" s="200"/>
      <c r="D53" s="38"/>
      <c r="E53" s="38"/>
      <c r="F53" s="38"/>
      <c r="G53" s="38"/>
      <c r="H53" s="38"/>
      <c r="I53" s="38"/>
      <c r="J53" s="154"/>
      <c r="K53" s="38"/>
      <c r="L53" s="38"/>
      <c r="M53" s="38"/>
      <c r="N53" s="38"/>
      <c r="O53" s="38"/>
      <c r="P53" s="38"/>
      <c r="Q53" s="38"/>
      <c r="R53" s="154"/>
      <c r="S53" s="38"/>
      <c r="T53" s="38"/>
      <c r="U53" s="38"/>
      <c r="V53" s="38"/>
      <c r="W53" s="38"/>
      <c r="X53" s="38"/>
      <c r="Y53" s="38"/>
      <c r="Z53" s="38"/>
      <c r="AA53" s="38"/>
      <c r="AB53" s="38"/>
      <c r="AC53" s="38"/>
      <c r="AD53" s="38"/>
      <c r="AE53" s="48"/>
    </row>
    <row r="54" ht="15.75" customHeight="1">
      <c r="A54" s="33"/>
      <c r="B54" s="296"/>
      <c r="C54" s="296"/>
      <c r="D54" s="151" t="s">
        <v>1161</v>
      </c>
      <c r="E54" s="296"/>
      <c r="F54" s="5"/>
      <c r="G54" s="5"/>
      <c r="H54" s="5"/>
      <c r="I54" s="5"/>
      <c r="J54" s="154"/>
      <c r="K54" s="38"/>
      <c r="L54" s="38"/>
      <c r="M54" s="38"/>
      <c r="N54" s="38"/>
      <c r="O54" s="38"/>
      <c r="P54" s="38"/>
      <c r="Q54" s="38"/>
      <c r="R54" s="154"/>
      <c r="S54" s="38"/>
      <c r="T54" s="38"/>
      <c r="U54" s="38"/>
      <c r="V54" s="38"/>
      <c r="W54" s="38"/>
      <c r="X54" s="38"/>
      <c r="Y54" s="38"/>
      <c r="Z54" s="38"/>
      <c r="AA54" s="38"/>
      <c r="AB54" s="38"/>
      <c r="AC54" s="38"/>
      <c r="AD54" s="38"/>
      <c r="AE54" s="48"/>
    </row>
    <row r="55" ht="15.75" customHeight="1">
      <c r="A55" s="33"/>
      <c r="B55" s="112"/>
      <c r="C55" s="112"/>
      <c r="D55" s="218" t="s">
        <v>1173</v>
      </c>
      <c r="E55" s="112"/>
      <c r="F55" s="112"/>
      <c r="G55" s="112"/>
      <c r="H55" s="112"/>
      <c r="I55" s="112"/>
      <c r="J55" s="154"/>
      <c r="K55" s="38"/>
      <c r="L55" s="38"/>
      <c r="M55" s="38"/>
      <c r="N55" s="38"/>
      <c r="O55" s="38"/>
      <c r="P55" s="38"/>
      <c r="Q55" s="38"/>
      <c r="R55" s="154"/>
      <c r="S55" s="38"/>
      <c r="T55" s="38"/>
      <c r="U55" s="38"/>
      <c r="V55" s="38"/>
      <c r="W55" s="38"/>
      <c r="X55" s="38"/>
      <c r="Y55" s="38"/>
      <c r="Z55" s="38"/>
      <c r="AA55" s="38"/>
      <c r="AB55" s="38"/>
      <c r="AC55" s="38"/>
      <c r="AD55" s="38"/>
      <c r="AE55" s="48"/>
    </row>
    <row r="56" ht="15.75" customHeight="1">
      <c r="A56" s="33">
        <v>1.0</v>
      </c>
      <c r="B56" s="7" t="s">
        <v>1185</v>
      </c>
      <c r="C56" s="38"/>
      <c r="D56" s="38"/>
      <c r="E56" s="38"/>
      <c r="F56" s="38"/>
      <c r="G56" s="38"/>
      <c r="H56" s="38"/>
      <c r="I56" s="38"/>
      <c r="J56" s="154"/>
      <c r="K56" s="38"/>
      <c r="L56" s="38"/>
      <c r="M56" s="38"/>
      <c r="N56" s="38"/>
      <c r="O56" s="38"/>
      <c r="P56" s="38"/>
      <c r="Q56" s="38"/>
      <c r="R56" s="154"/>
      <c r="S56" s="38"/>
      <c r="T56" s="38"/>
      <c r="U56" s="38"/>
      <c r="V56" s="38"/>
      <c r="W56" s="38"/>
      <c r="X56" s="38"/>
      <c r="Y56" s="38"/>
      <c r="Z56" s="38"/>
      <c r="AA56" s="38"/>
      <c r="AB56" s="38"/>
      <c r="AC56" s="38"/>
      <c r="AD56" s="38"/>
      <c r="AE56" s="48"/>
    </row>
    <row r="57" ht="15.75" customHeight="1">
      <c r="A57" s="33">
        <v>2.0</v>
      </c>
      <c r="B57" s="7" t="s">
        <v>1197</v>
      </c>
      <c r="C57" s="38"/>
      <c r="D57" s="38"/>
      <c r="E57" s="38"/>
      <c r="F57" s="38"/>
      <c r="G57" s="38"/>
      <c r="H57" s="38"/>
      <c r="I57" s="38"/>
      <c r="J57" s="154"/>
      <c r="K57" s="38"/>
      <c r="L57" s="38"/>
      <c r="M57" s="38"/>
      <c r="N57" s="38"/>
      <c r="O57" s="38"/>
      <c r="P57" s="38"/>
      <c r="Q57" s="38"/>
      <c r="R57" s="154"/>
      <c r="S57" s="38"/>
      <c r="T57" s="38"/>
      <c r="U57" s="38"/>
      <c r="V57" s="38"/>
      <c r="W57" s="38"/>
      <c r="X57" s="38"/>
      <c r="Y57" s="38"/>
      <c r="Z57" s="38"/>
      <c r="AA57" s="38"/>
      <c r="AB57" s="38"/>
      <c r="AC57" s="38"/>
      <c r="AD57" s="38"/>
      <c r="AE57" s="48"/>
    </row>
    <row r="58" ht="15.75" customHeight="1">
      <c r="A58" s="253">
        <v>3.0</v>
      </c>
      <c r="B58" s="7" t="s">
        <v>1212</v>
      </c>
      <c r="C58" s="38"/>
      <c r="D58" s="38"/>
      <c r="E58" s="38"/>
      <c r="F58" s="38"/>
      <c r="G58" s="38"/>
      <c r="H58" s="38"/>
      <c r="I58" s="38"/>
      <c r="J58" s="154"/>
      <c r="K58" s="38"/>
      <c r="L58" s="38"/>
      <c r="M58" s="38"/>
      <c r="N58" s="38"/>
      <c r="O58" s="38"/>
      <c r="P58" s="38"/>
      <c r="Q58" s="38"/>
      <c r="R58" s="154"/>
      <c r="S58" s="38"/>
      <c r="T58" s="38"/>
      <c r="U58" s="38"/>
      <c r="V58" s="38"/>
      <c r="W58" s="38"/>
      <c r="X58" s="38"/>
      <c r="Y58" s="38"/>
      <c r="Z58" s="38"/>
      <c r="AA58" s="38"/>
      <c r="AB58" s="38"/>
      <c r="AC58" s="38"/>
      <c r="AD58" s="38"/>
      <c r="AE58" s="48"/>
    </row>
    <row r="59" ht="15.75" customHeight="1">
      <c r="A59" s="33">
        <v>4.0</v>
      </c>
      <c r="C59" s="38"/>
      <c r="D59" s="38"/>
      <c r="E59" s="38"/>
      <c r="F59" s="38"/>
      <c r="G59" s="38"/>
      <c r="H59" s="38"/>
      <c r="I59" s="38"/>
      <c r="J59" s="154"/>
      <c r="K59" s="38"/>
      <c r="L59" s="38"/>
      <c r="M59" s="38"/>
      <c r="N59" s="38"/>
      <c r="O59" s="38"/>
      <c r="P59" s="38"/>
      <c r="Q59" s="38"/>
      <c r="R59" s="154"/>
      <c r="S59" s="38"/>
      <c r="T59" s="38"/>
      <c r="U59" s="38"/>
      <c r="V59" s="38"/>
      <c r="W59" s="38"/>
      <c r="X59" s="38"/>
      <c r="Y59" s="38"/>
      <c r="Z59" s="38"/>
      <c r="AA59" s="38"/>
      <c r="AB59" s="38"/>
      <c r="AC59" s="38"/>
      <c r="AD59" s="38"/>
      <c r="AE59" s="48"/>
    </row>
    <row r="60" ht="15.75" customHeight="1">
      <c r="A60" s="216">
        <v>5.0</v>
      </c>
      <c r="B60" s="233"/>
      <c r="C60" s="38"/>
      <c r="D60" s="38"/>
      <c r="E60" s="38"/>
      <c r="F60" s="38"/>
      <c r="G60" s="38"/>
      <c r="H60" s="38"/>
      <c r="I60" s="38"/>
      <c r="J60" s="154"/>
      <c r="K60" s="38"/>
      <c r="L60" s="38"/>
      <c r="M60" s="38"/>
      <c r="N60" s="38"/>
      <c r="O60" s="38"/>
      <c r="P60" s="38"/>
      <c r="Q60" s="38"/>
      <c r="R60" s="154"/>
      <c r="S60" s="38"/>
      <c r="T60" s="38"/>
      <c r="U60" s="38"/>
      <c r="V60" s="38"/>
      <c r="W60" s="38"/>
      <c r="X60" s="38"/>
      <c r="Y60" s="38"/>
      <c r="Z60" s="38"/>
      <c r="AA60" s="38"/>
      <c r="AB60" s="38"/>
      <c r="AC60" s="38"/>
      <c r="AD60" s="38"/>
      <c r="AE60" s="48"/>
    </row>
    <row r="61" ht="15.75" customHeight="1">
      <c r="B61" s="200"/>
      <c r="C61" s="38"/>
      <c r="D61" s="38"/>
      <c r="E61" s="38"/>
      <c r="F61" s="38"/>
      <c r="G61" s="38"/>
      <c r="H61" s="38"/>
      <c r="I61" s="38"/>
      <c r="J61" s="154"/>
      <c r="K61" s="38"/>
      <c r="L61" s="38"/>
      <c r="M61" s="38"/>
      <c r="N61" s="38"/>
      <c r="O61" s="38"/>
      <c r="P61" s="38"/>
      <c r="Q61" s="38"/>
      <c r="R61" s="154"/>
      <c r="S61" s="38"/>
      <c r="T61" s="38"/>
      <c r="U61" s="38"/>
      <c r="V61" s="38"/>
      <c r="W61" s="38"/>
      <c r="X61" s="38"/>
      <c r="Y61" s="38"/>
      <c r="Z61" s="38"/>
      <c r="AA61" s="38"/>
      <c r="AB61" s="38"/>
      <c r="AC61" s="38"/>
      <c r="AD61" s="38"/>
      <c r="AE61" s="48"/>
    </row>
    <row r="62" ht="15.75" customHeight="1">
      <c r="A62" s="33"/>
      <c r="B62" s="200"/>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48"/>
    </row>
    <row r="63" ht="15.75" customHeight="1">
      <c r="A63" s="33"/>
      <c r="B63" s="200"/>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48"/>
    </row>
    <row r="64" ht="15.75" customHeight="1">
      <c r="A64" s="33"/>
      <c r="B64" s="200"/>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48"/>
    </row>
    <row r="65" ht="15.75" customHeight="1">
      <c r="A65" s="33"/>
      <c r="B65" s="200"/>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48"/>
    </row>
    <row r="66" ht="15.75" customHeight="1">
      <c r="A66" s="33"/>
      <c r="B66" s="200"/>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48"/>
    </row>
    <row r="67" ht="15.75" customHeight="1">
      <c r="A67" s="33"/>
      <c r="B67" s="200"/>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48"/>
    </row>
    <row r="68" ht="15.75" customHeight="1">
      <c r="A68" s="33"/>
      <c r="B68" s="200"/>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48"/>
    </row>
    <row r="69" ht="15.75" customHeight="1">
      <c r="A69" s="33"/>
      <c r="B69" s="200"/>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48"/>
    </row>
    <row r="70" ht="15.75" customHeight="1">
      <c r="A70" s="33"/>
      <c r="B70" s="304" t="s">
        <v>1366</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48"/>
    </row>
    <row r="71" ht="15.75" customHeight="1">
      <c r="A71" s="33"/>
      <c r="B71" s="200"/>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48"/>
    </row>
    <row r="72" ht="15.75" customHeight="1">
      <c r="A72" s="33"/>
      <c r="B72" s="200"/>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48"/>
    </row>
    <row r="73" ht="15.75" customHeight="1">
      <c r="A73" s="305"/>
      <c r="B73" s="5"/>
      <c r="C73" s="5"/>
      <c r="D73" s="306" t="s">
        <v>1414</v>
      </c>
      <c r="E73" s="307"/>
      <c r="F73" s="307"/>
      <c r="G73" s="307"/>
      <c r="H73" s="307"/>
      <c r="I73" s="307"/>
      <c r="J73" s="150"/>
      <c r="K73" s="11" t="s">
        <v>6</v>
      </c>
      <c r="L73" s="6"/>
      <c r="M73" s="6"/>
      <c r="N73" s="6"/>
      <c r="O73" s="6"/>
      <c r="P73" s="6"/>
      <c r="Q73" s="8"/>
      <c r="R73" s="38"/>
      <c r="S73" s="38"/>
      <c r="T73" s="38"/>
      <c r="U73" s="38"/>
      <c r="V73" s="38"/>
      <c r="W73" s="38"/>
      <c r="X73" s="38"/>
      <c r="Y73" s="38"/>
      <c r="Z73" s="38"/>
      <c r="AA73" s="38"/>
      <c r="AB73" s="38"/>
      <c r="AC73" s="38"/>
      <c r="AD73" s="38"/>
      <c r="AE73" s="48"/>
    </row>
    <row r="74" ht="15.75" customHeight="1">
      <c r="A74" s="33"/>
      <c r="B74" s="135"/>
      <c r="C74" s="17" t="s">
        <v>33</v>
      </c>
      <c r="D74" s="18"/>
      <c r="E74" s="19" t="s">
        <v>34</v>
      </c>
      <c r="F74" s="20"/>
      <c r="G74" s="20"/>
      <c r="H74" s="21"/>
      <c r="I74" s="308" t="s">
        <v>35</v>
      </c>
      <c r="J74" s="154"/>
      <c r="K74" s="19" t="s">
        <v>34</v>
      </c>
      <c r="L74" s="20"/>
      <c r="M74" s="21"/>
      <c r="N74" s="38"/>
      <c r="O74" s="39" t="s">
        <v>35</v>
      </c>
      <c r="P74" s="20"/>
      <c r="Q74" s="21"/>
      <c r="R74" s="38"/>
      <c r="S74" s="38"/>
      <c r="T74" s="38"/>
      <c r="U74" s="38"/>
      <c r="V74" s="38"/>
      <c r="W74" s="38"/>
      <c r="X74" s="38"/>
      <c r="Y74" s="38"/>
      <c r="Z74" s="38"/>
      <c r="AA74" s="38"/>
      <c r="AB74" s="38"/>
      <c r="AC74" s="38"/>
      <c r="AD74" s="38"/>
      <c r="AE74" s="48"/>
    </row>
    <row r="75" ht="15.75" customHeight="1">
      <c r="A75" s="310" t="s">
        <v>51</v>
      </c>
      <c r="B75" s="311" t="s">
        <v>52</v>
      </c>
      <c r="C75" s="53" t="s">
        <v>60</v>
      </c>
      <c r="D75" s="54" t="s">
        <v>65</v>
      </c>
      <c r="E75" s="161" t="s">
        <v>67</v>
      </c>
      <c r="F75" s="161" t="s">
        <v>68</v>
      </c>
      <c r="G75" s="38"/>
      <c r="H75" s="58" t="s">
        <v>71</v>
      </c>
      <c r="I75" s="161" t="s">
        <v>73</v>
      </c>
      <c r="J75" s="154"/>
      <c r="K75" s="161" t="s">
        <v>69</v>
      </c>
      <c r="L75" s="161" t="s">
        <v>67</v>
      </c>
      <c r="M75" s="161" t="s">
        <v>68</v>
      </c>
      <c r="N75" s="38"/>
      <c r="O75" s="161" t="s">
        <v>75</v>
      </c>
      <c r="P75" s="161" t="s">
        <v>73</v>
      </c>
      <c r="Q75" s="161" t="s">
        <v>76</v>
      </c>
      <c r="R75" s="38"/>
      <c r="S75" s="38"/>
      <c r="T75" s="38"/>
      <c r="U75" s="38"/>
      <c r="V75" s="38"/>
      <c r="W75" s="38"/>
      <c r="X75" s="38"/>
      <c r="Y75" s="38"/>
      <c r="Z75" s="38"/>
      <c r="AA75" s="38"/>
      <c r="AB75" s="38"/>
      <c r="AC75" s="38"/>
      <c r="AD75" s="38"/>
      <c r="AE75" s="48"/>
    </row>
    <row r="76" ht="15.75" customHeight="1">
      <c r="A76" s="62"/>
      <c r="B76" s="62"/>
      <c r="C76" s="164" t="s">
        <v>77</v>
      </c>
      <c r="D76" s="62"/>
      <c r="E76" s="161" t="s">
        <v>81</v>
      </c>
      <c r="F76" s="161" t="s">
        <v>80</v>
      </c>
      <c r="G76" s="38"/>
      <c r="H76" s="163"/>
      <c r="I76" s="312" t="s">
        <v>82</v>
      </c>
      <c r="J76" s="154"/>
      <c r="K76" s="161" t="s">
        <v>78</v>
      </c>
      <c r="L76" s="161" t="s">
        <v>81</v>
      </c>
      <c r="M76" s="161" t="s">
        <v>80</v>
      </c>
      <c r="N76" s="38"/>
      <c r="O76" s="312" t="s">
        <v>1485</v>
      </c>
      <c r="P76" s="313" t="s">
        <v>84</v>
      </c>
      <c r="Q76" s="313" t="s">
        <v>84</v>
      </c>
      <c r="R76" s="38"/>
      <c r="S76" s="38"/>
      <c r="T76" s="38"/>
      <c r="U76" s="38"/>
      <c r="V76" s="38"/>
      <c r="W76" s="38"/>
      <c r="X76" s="38"/>
      <c r="Y76" s="38"/>
      <c r="Z76" s="38"/>
      <c r="AA76" s="38"/>
      <c r="AB76" s="38"/>
      <c r="AC76" s="38"/>
      <c r="AD76" s="38"/>
      <c r="AE76" s="48"/>
    </row>
    <row r="77" ht="15.75" customHeight="1">
      <c r="A77" s="314"/>
      <c r="B77" s="314"/>
      <c r="C77" s="69" t="s">
        <v>85</v>
      </c>
      <c r="D77" s="78"/>
      <c r="E77" s="194" t="s">
        <v>87</v>
      </c>
      <c r="F77" s="194" t="s">
        <v>93</v>
      </c>
      <c r="G77" s="193"/>
      <c r="H77" s="75"/>
      <c r="I77" s="194" t="s">
        <v>93</v>
      </c>
      <c r="J77" s="192"/>
      <c r="K77" s="194" t="s">
        <v>87</v>
      </c>
      <c r="L77" s="194" t="s">
        <v>87</v>
      </c>
      <c r="M77" s="194" t="s">
        <v>93</v>
      </c>
      <c r="N77" s="193"/>
      <c r="O77" s="315" t="s">
        <v>84</v>
      </c>
      <c r="P77" s="194" t="s">
        <v>93</v>
      </c>
      <c r="Q77" s="194" t="s">
        <v>93</v>
      </c>
      <c r="R77" s="38"/>
      <c r="S77" s="38"/>
      <c r="T77" s="38"/>
      <c r="U77" s="38"/>
      <c r="V77" s="38"/>
      <c r="W77" s="38"/>
      <c r="X77" s="38"/>
      <c r="Y77" s="38"/>
      <c r="Z77" s="38"/>
      <c r="AA77" s="38"/>
      <c r="AB77" s="38"/>
      <c r="AC77" s="38"/>
      <c r="AD77" s="38"/>
      <c r="AE77" s="48"/>
    </row>
    <row r="78" ht="15.75" customHeight="1">
      <c r="A78" s="216">
        <v>13.0</v>
      </c>
      <c r="B78" s="233" t="s">
        <v>330</v>
      </c>
      <c r="C78" s="59">
        <v>6.0</v>
      </c>
      <c r="D78" s="54" t="s">
        <v>96</v>
      </c>
      <c r="E78" s="186">
        <v>1.96</v>
      </c>
      <c r="F78" s="186">
        <v>12.145</v>
      </c>
      <c r="G78" s="38"/>
      <c r="H78" s="56" t="s">
        <v>97</v>
      </c>
      <c r="I78" s="318">
        <f t="shared" ref="I78:I84" si="17">P78*SQRT(O78)</f>
        <v>1031.015095</v>
      </c>
      <c r="J78" s="154"/>
      <c r="K78" s="186">
        <v>2.0</v>
      </c>
      <c r="L78" s="320">
        <f t="shared" ref="L78:L84" si="18">E78/O78</f>
        <v>0.1659466667</v>
      </c>
      <c r="M78" s="320">
        <f t="shared" ref="M78:M84" si="19">F78/sqrt(O78)</f>
        <v>3.533895884</v>
      </c>
      <c r="N78" s="38"/>
      <c r="O78" s="83">
        <f t="shared" ref="O78:O84" si="20">6/0.508</f>
        <v>11.81102362</v>
      </c>
      <c r="P78" s="324">
        <v>300.0</v>
      </c>
      <c r="Q78" s="325">
        <v>20.0</v>
      </c>
      <c r="R78" s="38"/>
      <c r="S78" s="38"/>
      <c r="T78" s="38"/>
      <c r="U78" s="38"/>
      <c r="V78" s="38"/>
      <c r="W78" s="38"/>
      <c r="X78" s="38"/>
      <c r="Y78" s="38"/>
      <c r="Z78" s="38"/>
      <c r="AA78" s="38"/>
      <c r="AB78" s="38"/>
      <c r="AC78" s="38"/>
      <c r="AD78" s="38"/>
      <c r="AE78" s="48"/>
    </row>
    <row r="79" ht="15.75" customHeight="1">
      <c r="A79" s="216">
        <v>14.0</v>
      </c>
      <c r="B79" s="233" t="s">
        <v>330</v>
      </c>
      <c r="C79" s="59">
        <v>12.0</v>
      </c>
      <c r="D79" s="54" t="s">
        <v>96</v>
      </c>
      <c r="E79" s="186">
        <v>2.49</v>
      </c>
      <c r="F79" s="318">
        <v>11.05</v>
      </c>
      <c r="G79" s="38"/>
      <c r="H79" s="56" t="s">
        <v>97</v>
      </c>
      <c r="I79" s="318">
        <f t="shared" si="17"/>
        <v>1031.015095</v>
      </c>
      <c r="J79" s="154"/>
      <c r="K79" s="186">
        <v>2.0</v>
      </c>
      <c r="L79" s="320">
        <f t="shared" si="18"/>
        <v>0.21082</v>
      </c>
      <c r="M79" s="320">
        <f t="shared" si="19"/>
        <v>3.215277852</v>
      </c>
      <c r="N79" s="38"/>
      <c r="O79" s="83">
        <f t="shared" si="20"/>
        <v>11.81102362</v>
      </c>
      <c r="P79" s="324">
        <v>300.0</v>
      </c>
      <c r="Q79" s="325">
        <v>20.0</v>
      </c>
      <c r="R79" s="38"/>
      <c r="S79" s="38"/>
      <c r="T79" s="38"/>
      <c r="U79" s="38"/>
      <c r="V79" s="38"/>
      <c r="W79" s="38"/>
      <c r="X79" s="38"/>
      <c r="Y79" s="38"/>
      <c r="Z79" s="38"/>
      <c r="AA79" s="38"/>
      <c r="AB79" s="38"/>
      <c r="AC79" s="38"/>
      <c r="AD79" s="38"/>
      <c r="AE79" s="48"/>
    </row>
    <row r="80" ht="15.75" customHeight="1">
      <c r="A80" s="216">
        <v>15.0</v>
      </c>
      <c r="B80" s="233" t="s">
        <v>330</v>
      </c>
      <c r="C80" s="59">
        <v>16.0</v>
      </c>
      <c r="D80" s="54" t="s">
        <v>96</v>
      </c>
      <c r="E80" s="186">
        <v>3.182</v>
      </c>
      <c r="F80" s="318">
        <v>10.275</v>
      </c>
      <c r="G80" s="38"/>
      <c r="H80" s="56" t="s">
        <v>97</v>
      </c>
      <c r="I80" s="318">
        <f t="shared" si="17"/>
        <v>1031.015095</v>
      </c>
      <c r="J80" s="154"/>
      <c r="K80" s="186">
        <v>2.0</v>
      </c>
      <c r="L80" s="320">
        <f t="shared" si="18"/>
        <v>0.2694093333</v>
      </c>
      <c r="M80" s="320">
        <f t="shared" si="19"/>
        <v>2.989771939</v>
      </c>
      <c r="N80" s="38"/>
      <c r="O80" s="83">
        <f t="shared" si="20"/>
        <v>11.81102362</v>
      </c>
      <c r="P80" s="324">
        <v>300.0</v>
      </c>
      <c r="Q80" s="325">
        <v>20.0</v>
      </c>
      <c r="R80" s="38"/>
      <c r="S80" s="38"/>
      <c r="T80" s="38"/>
      <c r="U80" s="38"/>
      <c r="V80" s="38"/>
      <c r="W80" s="38"/>
      <c r="X80" s="38"/>
      <c r="Y80" s="38"/>
      <c r="Z80" s="38"/>
      <c r="AA80" s="38"/>
      <c r="AB80" s="38"/>
      <c r="AC80" s="38"/>
      <c r="AD80" s="38"/>
      <c r="AE80" s="48"/>
    </row>
    <row r="81" ht="15.75" customHeight="1">
      <c r="A81" s="216">
        <v>16.0</v>
      </c>
      <c r="B81" s="233" t="s">
        <v>330</v>
      </c>
      <c r="C81" s="59">
        <v>20.0</v>
      </c>
      <c r="D81" s="54" t="s">
        <v>96</v>
      </c>
      <c r="E81" s="186">
        <v>4.183</v>
      </c>
      <c r="F81" s="318">
        <v>10.278</v>
      </c>
      <c r="G81" s="38"/>
      <c r="H81" s="56" t="s">
        <v>97</v>
      </c>
      <c r="I81" s="318">
        <f t="shared" si="17"/>
        <v>1031.015095</v>
      </c>
      <c r="J81" s="154"/>
      <c r="K81" s="186">
        <v>2.0</v>
      </c>
      <c r="L81" s="320">
        <f t="shared" si="18"/>
        <v>0.3541606667</v>
      </c>
      <c r="M81" s="320">
        <f t="shared" si="19"/>
        <v>2.990644866</v>
      </c>
      <c r="N81" s="38"/>
      <c r="O81" s="83">
        <f t="shared" si="20"/>
        <v>11.81102362</v>
      </c>
      <c r="P81" s="324">
        <v>300.0</v>
      </c>
      <c r="Q81" s="325">
        <v>20.0</v>
      </c>
      <c r="R81" s="38"/>
      <c r="S81" s="38"/>
      <c r="T81" s="38"/>
      <c r="U81" s="38"/>
      <c r="V81" s="38"/>
      <c r="W81" s="38"/>
      <c r="X81" s="38"/>
      <c r="Y81" s="38"/>
      <c r="Z81" s="38"/>
      <c r="AA81" s="38"/>
      <c r="AB81" s="38"/>
      <c r="AC81" s="38"/>
      <c r="AD81" s="38"/>
      <c r="AE81" s="48"/>
    </row>
    <row r="82" ht="15.75" customHeight="1">
      <c r="A82" s="216">
        <v>17.0</v>
      </c>
      <c r="B82" s="335" t="s">
        <v>330</v>
      </c>
      <c r="C82" s="95">
        <v>24.0</v>
      </c>
      <c r="D82" s="118" t="s">
        <v>96</v>
      </c>
      <c r="E82" s="337">
        <v>5.422</v>
      </c>
      <c r="F82" s="339">
        <v>10.962</v>
      </c>
      <c r="G82" s="135"/>
      <c r="H82" s="210" t="s">
        <v>97</v>
      </c>
      <c r="I82" s="339">
        <f t="shared" si="17"/>
        <v>1031.015095</v>
      </c>
      <c r="J82" s="214"/>
      <c r="K82" s="337">
        <v>2.0</v>
      </c>
      <c r="L82" s="340">
        <f t="shared" si="18"/>
        <v>0.4590626667</v>
      </c>
      <c r="M82" s="340">
        <f t="shared" si="19"/>
        <v>3.18967202</v>
      </c>
      <c r="N82" s="135"/>
      <c r="O82" s="128">
        <f t="shared" si="20"/>
        <v>11.81102362</v>
      </c>
      <c r="P82" s="341">
        <v>300.0</v>
      </c>
      <c r="Q82" s="341">
        <v>20.0</v>
      </c>
      <c r="R82" s="38"/>
      <c r="S82" s="38"/>
      <c r="T82" s="38"/>
      <c r="U82" s="38"/>
      <c r="V82" s="38"/>
      <c r="W82" s="38"/>
      <c r="X82" s="38"/>
      <c r="Y82" s="38"/>
      <c r="Z82" s="38"/>
      <c r="AA82" s="38"/>
      <c r="AB82" s="38"/>
      <c r="AC82" s="38"/>
      <c r="AD82" s="38"/>
      <c r="AE82" s="48"/>
    </row>
    <row r="83" ht="15.75" customHeight="1">
      <c r="A83" s="216">
        <v>18.0</v>
      </c>
      <c r="B83" s="342" t="s">
        <v>330</v>
      </c>
      <c r="C83" s="53">
        <v>16.0</v>
      </c>
      <c r="D83" s="54" t="s">
        <v>96</v>
      </c>
      <c r="E83" s="343">
        <v>3.182</v>
      </c>
      <c r="F83" s="344">
        <v>10.275</v>
      </c>
      <c r="G83" s="345"/>
      <c r="H83" s="142" t="s">
        <v>102</v>
      </c>
      <c r="I83" s="344">
        <f t="shared" si="17"/>
        <v>1031.015095</v>
      </c>
      <c r="J83" s="228"/>
      <c r="K83" s="343">
        <v>2.0</v>
      </c>
      <c r="L83" s="346">
        <f t="shared" si="18"/>
        <v>0.2694093333</v>
      </c>
      <c r="M83" s="346">
        <f t="shared" si="19"/>
        <v>2.989771939</v>
      </c>
      <c r="N83" s="345"/>
      <c r="O83" s="143">
        <f t="shared" si="20"/>
        <v>11.81102362</v>
      </c>
      <c r="P83" s="347">
        <v>300.0</v>
      </c>
      <c r="Q83" s="348">
        <v>20.0</v>
      </c>
      <c r="R83" s="38"/>
      <c r="S83" s="38"/>
      <c r="T83" s="38"/>
      <c r="U83" s="38"/>
      <c r="V83" s="38"/>
      <c r="W83" s="38"/>
      <c r="X83" s="38"/>
      <c r="Y83" s="38"/>
      <c r="Z83" s="38"/>
      <c r="AA83" s="38"/>
      <c r="AB83" s="38"/>
      <c r="AC83" s="38"/>
      <c r="AD83" s="38"/>
      <c r="AE83" s="48"/>
    </row>
    <row r="84" ht="15.75" customHeight="1">
      <c r="A84" s="216">
        <v>19.0</v>
      </c>
      <c r="B84" s="233" t="s">
        <v>330</v>
      </c>
      <c r="C84" s="59">
        <v>24.0</v>
      </c>
      <c r="D84" s="54" t="s">
        <v>96</v>
      </c>
      <c r="E84" s="186">
        <v>5.422</v>
      </c>
      <c r="F84" s="318">
        <v>10.962</v>
      </c>
      <c r="G84" s="38"/>
      <c r="H84" s="37" t="s">
        <v>102</v>
      </c>
      <c r="I84" s="318">
        <f t="shared" si="17"/>
        <v>1031.015095</v>
      </c>
      <c r="J84" s="154"/>
      <c r="K84" s="186">
        <v>2.0</v>
      </c>
      <c r="L84" s="320">
        <f t="shared" si="18"/>
        <v>0.4590626667</v>
      </c>
      <c r="M84" s="320">
        <f t="shared" si="19"/>
        <v>3.18967202</v>
      </c>
      <c r="N84" s="38"/>
      <c r="O84" s="83">
        <f t="shared" si="20"/>
        <v>11.81102362</v>
      </c>
      <c r="P84" s="324">
        <v>300.0</v>
      </c>
      <c r="Q84" s="325">
        <v>20.0</v>
      </c>
      <c r="R84" s="38"/>
      <c r="S84" s="38"/>
      <c r="T84" s="38"/>
      <c r="U84" s="38"/>
      <c r="V84" s="38"/>
      <c r="W84" s="38"/>
      <c r="X84" s="38"/>
      <c r="Y84" s="38"/>
      <c r="Z84" s="38"/>
      <c r="AA84" s="38"/>
      <c r="AB84" s="38"/>
      <c r="AC84" s="38"/>
      <c r="AD84" s="38"/>
      <c r="AE84" s="48"/>
    </row>
    <row r="85" ht="15.75" customHeight="1">
      <c r="A85" s="33"/>
      <c r="B85" s="200"/>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48"/>
    </row>
    <row r="86" ht="15.75" customHeight="1">
      <c r="A86" s="33"/>
      <c r="B86" s="200"/>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48"/>
    </row>
    <row r="87" ht="15.75" customHeight="1">
      <c r="A87" s="33"/>
      <c r="B87" s="200"/>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48"/>
    </row>
    <row r="88" ht="15.75" customHeight="1">
      <c r="A88" s="33"/>
      <c r="B88" s="200"/>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48"/>
    </row>
    <row r="89" ht="15.75" customHeight="1">
      <c r="A89" s="33"/>
      <c r="B89" s="200"/>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48"/>
    </row>
    <row r="90" ht="15.75" customHeight="1">
      <c r="A90" s="33"/>
      <c r="B90" s="200"/>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48"/>
    </row>
    <row r="91" ht="15.75" customHeight="1">
      <c r="A91" s="33"/>
      <c r="B91" s="200"/>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48"/>
    </row>
    <row r="92" ht="15.75" customHeight="1">
      <c r="A92" s="33"/>
      <c r="B92" s="200"/>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48"/>
    </row>
    <row r="93" ht="15.75" customHeight="1">
      <c r="A93" s="33"/>
      <c r="B93" s="200"/>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48"/>
    </row>
    <row r="94" ht="15.75" customHeight="1">
      <c r="A94" s="33"/>
      <c r="B94" s="200"/>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48"/>
    </row>
    <row r="95" ht="15.75" customHeight="1">
      <c r="A95" s="33"/>
      <c r="B95" s="200"/>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48"/>
    </row>
    <row r="96" ht="15.75" customHeight="1">
      <c r="A96" s="33"/>
      <c r="B96" s="200"/>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48"/>
    </row>
    <row r="97" ht="15.75" customHeight="1">
      <c r="A97" s="33"/>
      <c r="B97" s="200"/>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48"/>
    </row>
    <row r="98" ht="15.75" customHeight="1">
      <c r="A98" s="33"/>
      <c r="B98" s="200"/>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48"/>
    </row>
    <row r="99" ht="15.75" customHeight="1">
      <c r="A99" s="33"/>
      <c r="B99" s="200"/>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48"/>
    </row>
    <row r="100" ht="15.75" customHeight="1">
      <c r="A100" s="33"/>
      <c r="B100" s="200"/>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48"/>
    </row>
    <row r="101" ht="15.75" customHeight="1">
      <c r="A101" s="33"/>
      <c r="B101" s="200"/>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48"/>
    </row>
    <row r="102" ht="15.75" customHeight="1">
      <c r="A102" s="33"/>
      <c r="B102" s="200"/>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48"/>
    </row>
    <row r="103" ht="15.75" customHeight="1">
      <c r="A103" s="33"/>
      <c r="B103" s="200"/>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48"/>
    </row>
    <row r="104" ht="15.75" customHeight="1">
      <c r="A104" s="33"/>
      <c r="B104" s="200"/>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48"/>
    </row>
    <row r="105" ht="15.75" customHeight="1">
      <c r="A105" s="33"/>
      <c r="B105" s="200"/>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48"/>
    </row>
    <row r="106" ht="15.75" customHeight="1">
      <c r="A106" s="33"/>
      <c r="B106" s="200"/>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48"/>
    </row>
    <row r="107" ht="15.75" customHeight="1">
      <c r="A107" s="33"/>
      <c r="B107" s="200"/>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48"/>
    </row>
    <row r="108" ht="15.75" customHeight="1">
      <c r="A108" s="33"/>
      <c r="B108" s="200"/>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48"/>
    </row>
    <row r="109" ht="15.75" customHeight="1">
      <c r="A109" s="33"/>
      <c r="B109" s="200"/>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48"/>
    </row>
    <row r="110" ht="15.75" customHeight="1">
      <c r="A110" s="33"/>
      <c r="B110" s="200"/>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48"/>
    </row>
    <row r="111" ht="15.75" customHeight="1">
      <c r="A111" s="33"/>
      <c r="B111" s="200"/>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48"/>
    </row>
    <row r="112" ht="15.75" customHeight="1">
      <c r="A112" s="33"/>
      <c r="B112" s="200"/>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48"/>
    </row>
    <row r="113" ht="15.75" customHeight="1">
      <c r="A113" s="33"/>
      <c r="B113" s="200"/>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48"/>
    </row>
    <row r="114" ht="15.75" customHeight="1">
      <c r="A114" s="33"/>
      <c r="B114" s="200"/>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48"/>
    </row>
    <row r="115" ht="15.75" customHeight="1">
      <c r="A115" s="33"/>
      <c r="B115" s="200"/>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48"/>
    </row>
    <row r="116" ht="15.75" customHeight="1">
      <c r="A116" s="33"/>
      <c r="B116" s="200"/>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48"/>
    </row>
    <row r="117" ht="15.75" customHeight="1">
      <c r="A117" s="33"/>
      <c r="B117" s="200"/>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48"/>
    </row>
    <row r="118" ht="15.75" customHeight="1">
      <c r="A118" s="33"/>
      <c r="B118" s="200"/>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48"/>
    </row>
    <row r="119" ht="15.75" customHeight="1">
      <c r="A119" s="33"/>
      <c r="B119" s="200"/>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48"/>
    </row>
    <row r="120" ht="15.75" customHeight="1">
      <c r="A120" s="33"/>
      <c r="B120" s="200"/>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48"/>
    </row>
    <row r="121" ht="15.75" customHeight="1">
      <c r="A121" s="33"/>
      <c r="B121" s="200"/>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48"/>
    </row>
    <row r="122" ht="15.75" customHeight="1">
      <c r="A122" s="33"/>
      <c r="B122" s="200"/>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48"/>
    </row>
    <row r="123" ht="15.75" customHeight="1">
      <c r="A123" s="33"/>
      <c r="B123" s="200"/>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48"/>
    </row>
    <row r="124" ht="15.75" customHeight="1">
      <c r="A124" s="33"/>
      <c r="B124" s="200"/>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48"/>
    </row>
    <row r="125" ht="15.75" customHeight="1">
      <c r="A125" s="33"/>
      <c r="B125" s="200"/>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48"/>
    </row>
    <row r="126" ht="15.75" customHeight="1">
      <c r="A126" s="33"/>
      <c r="B126" s="200"/>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48"/>
    </row>
    <row r="127" ht="15.75" customHeight="1">
      <c r="A127" s="33"/>
      <c r="B127" s="200"/>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48"/>
    </row>
    <row r="128" ht="15.75" customHeight="1">
      <c r="A128" s="33"/>
      <c r="B128" s="200"/>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48"/>
    </row>
    <row r="129" ht="15.75" customHeight="1">
      <c r="A129" s="33"/>
      <c r="B129" s="200"/>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48"/>
    </row>
    <row r="130" ht="15.75" customHeight="1">
      <c r="A130" s="33"/>
      <c r="B130" s="200"/>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48"/>
    </row>
    <row r="131" ht="15.75" customHeight="1">
      <c r="A131" s="33"/>
      <c r="B131" s="200"/>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48"/>
    </row>
    <row r="132" ht="15.75" customHeight="1">
      <c r="A132" s="33"/>
      <c r="B132" s="200"/>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48"/>
    </row>
    <row r="133" ht="15.75" customHeight="1">
      <c r="A133" s="33"/>
      <c r="B133" s="200"/>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48"/>
    </row>
    <row r="134" ht="15.75" customHeight="1">
      <c r="A134" s="33"/>
      <c r="B134" s="200"/>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48"/>
    </row>
    <row r="135" ht="15.75" customHeight="1">
      <c r="A135" s="33"/>
      <c r="B135" s="200"/>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48"/>
    </row>
    <row r="136" ht="15.75" customHeight="1">
      <c r="A136" s="33"/>
      <c r="B136" s="200"/>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48"/>
    </row>
    <row r="137" ht="15.75" customHeight="1">
      <c r="A137" s="33"/>
      <c r="B137" s="200"/>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48"/>
    </row>
    <row r="138" ht="15.75" customHeight="1">
      <c r="A138" s="33"/>
      <c r="B138" s="200"/>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48"/>
    </row>
    <row r="139" ht="15.75" customHeight="1">
      <c r="A139" s="33"/>
      <c r="B139" s="200"/>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48"/>
    </row>
    <row r="140" ht="15.75" customHeight="1">
      <c r="A140" s="33"/>
      <c r="B140" s="200"/>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48"/>
    </row>
    <row r="141" ht="15.75" customHeight="1">
      <c r="A141" s="33"/>
      <c r="B141" s="200"/>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48"/>
    </row>
    <row r="142" ht="15.75" customHeight="1">
      <c r="A142" s="33"/>
      <c r="B142" s="200"/>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48"/>
    </row>
    <row r="143" ht="15.75" customHeight="1">
      <c r="A143" s="33"/>
      <c r="B143" s="200"/>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48"/>
    </row>
    <row r="144" ht="15.75" customHeight="1">
      <c r="A144" s="33"/>
      <c r="B144" s="200"/>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48"/>
    </row>
    <row r="145" ht="15.75" customHeight="1">
      <c r="A145" s="33"/>
      <c r="B145" s="200"/>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48"/>
    </row>
    <row r="146" ht="15.75" customHeight="1">
      <c r="A146" s="33"/>
      <c r="B146" s="200"/>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48"/>
    </row>
    <row r="147" ht="15.75" customHeight="1">
      <c r="A147" s="33"/>
      <c r="B147" s="200"/>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48"/>
    </row>
    <row r="148" ht="15.75" customHeight="1">
      <c r="A148" s="33"/>
      <c r="B148" s="200"/>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48"/>
    </row>
    <row r="149" ht="15.75" customHeight="1">
      <c r="A149" s="33"/>
      <c r="B149" s="200"/>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48"/>
    </row>
    <row r="150" ht="15.75" customHeight="1">
      <c r="A150" s="33"/>
      <c r="B150" s="200"/>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48"/>
    </row>
    <row r="151" ht="15.75" customHeight="1">
      <c r="A151" s="33"/>
      <c r="B151" s="200"/>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48"/>
    </row>
    <row r="152" ht="15.75" customHeight="1">
      <c r="A152" s="33"/>
      <c r="B152" s="200"/>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48"/>
    </row>
    <row r="153" ht="15.75" customHeight="1">
      <c r="A153" s="33"/>
      <c r="B153" s="200"/>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48"/>
    </row>
    <row r="154" ht="15.75" customHeight="1">
      <c r="A154" s="33"/>
      <c r="B154" s="200"/>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48"/>
    </row>
    <row r="155" ht="15.75" customHeight="1">
      <c r="A155" s="33"/>
      <c r="B155" s="200"/>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48"/>
    </row>
    <row r="156" ht="15.75" customHeight="1">
      <c r="A156" s="33"/>
      <c r="B156" s="200"/>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48"/>
    </row>
    <row r="157" ht="15.75" customHeight="1">
      <c r="A157" s="33"/>
      <c r="B157" s="200"/>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48"/>
    </row>
    <row r="158" ht="15.75" customHeight="1">
      <c r="A158" s="33"/>
      <c r="B158" s="200"/>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48"/>
    </row>
    <row r="159" ht="15.75" customHeight="1">
      <c r="A159" s="33"/>
      <c r="B159" s="200"/>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48"/>
    </row>
    <row r="160" ht="15.75" customHeight="1">
      <c r="A160" s="33"/>
      <c r="B160" s="200"/>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48"/>
    </row>
    <row r="161" ht="15.75" customHeight="1">
      <c r="A161" s="33"/>
      <c r="B161" s="200"/>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48"/>
    </row>
    <row r="162" ht="15.75" customHeight="1">
      <c r="A162" s="33"/>
      <c r="B162" s="200"/>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48"/>
    </row>
    <row r="163" ht="15.75" customHeight="1">
      <c r="A163" s="33"/>
      <c r="B163" s="200"/>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48"/>
    </row>
    <row r="164" ht="15.75" customHeight="1">
      <c r="A164" s="33"/>
      <c r="B164" s="200"/>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48"/>
    </row>
    <row r="165" ht="15.75" customHeight="1">
      <c r="A165" s="33"/>
      <c r="B165" s="200"/>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48"/>
    </row>
    <row r="166" ht="15.75" customHeight="1">
      <c r="A166" s="33"/>
      <c r="B166" s="200"/>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48"/>
    </row>
    <row r="167" ht="15.75" customHeight="1">
      <c r="A167" s="33"/>
      <c r="B167" s="200"/>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48"/>
    </row>
    <row r="168" ht="15.75" customHeight="1">
      <c r="A168" s="33"/>
      <c r="B168" s="200"/>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48"/>
    </row>
    <row r="169" ht="15.75" customHeight="1">
      <c r="A169" s="33"/>
      <c r="B169" s="200"/>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48"/>
    </row>
    <row r="170" ht="15.75" customHeight="1">
      <c r="A170" s="33"/>
      <c r="B170" s="200"/>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48"/>
    </row>
    <row r="171" ht="15.75" customHeight="1">
      <c r="A171" s="33"/>
      <c r="B171" s="200"/>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48"/>
    </row>
    <row r="172" ht="15.75" customHeight="1">
      <c r="A172" s="33"/>
      <c r="B172" s="200"/>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48"/>
    </row>
    <row r="173" ht="15.75" customHeight="1">
      <c r="A173" s="33"/>
      <c r="B173" s="200"/>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48"/>
    </row>
    <row r="174" ht="15.75" customHeight="1">
      <c r="A174" s="33"/>
      <c r="B174" s="200"/>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48"/>
    </row>
    <row r="175" ht="15.75" customHeight="1">
      <c r="A175" s="33"/>
      <c r="B175" s="200"/>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48"/>
    </row>
    <row r="176" ht="15.75" customHeight="1">
      <c r="A176" s="33"/>
      <c r="B176" s="200"/>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48"/>
    </row>
    <row r="177" ht="15.75" customHeight="1">
      <c r="A177" s="33"/>
      <c r="B177" s="200"/>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48"/>
    </row>
    <row r="178" ht="15.75" customHeight="1">
      <c r="A178" s="33"/>
      <c r="B178" s="200"/>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48"/>
    </row>
    <row r="179" ht="15.75" customHeight="1">
      <c r="A179" s="33"/>
      <c r="B179" s="200"/>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48"/>
    </row>
    <row r="180" ht="15.75" customHeight="1">
      <c r="A180" s="33"/>
      <c r="B180" s="200"/>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48"/>
    </row>
    <row r="181" ht="15.75" customHeight="1">
      <c r="A181" s="33"/>
      <c r="B181" s="200"/>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48"/>
    </row>
    <row r="182" ht="15.75" customHeight="1">
      <c r="A182" s="33"/>
      <c r="B182" s="200"/>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48"/>
    </row>
    <row r="183" ht="15.75" customHeight="1">
      <c r="A183" s="33"/>
      <c r="B183" s="200"/>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48"/>
    </row>
    <row r="184" ht="15.75" customHeight="1">
      <c r="A184" s="33"/>
      <c r="B184" s="200"/>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48"/>
    </row>
    <row r="185" ht="15.75" customHeight="1">
      <c r="A185" s="33"/>
      <c r="B185" s="200"/>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48"/>
    </row>
    <row r="186" ht="15.75" customHeight="1">
      <c r="A186" s="33"/>
      <c r="B186" s="200"/>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48"/>
    </row>
    <row r="187" ht="15.75" customHeight="1">
      <c r="A187" s="33"/>
      <c r="B187" s="200"/>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48"/>
    </row>
    <row r="188" ht="15.75" customHeight="1">
      <c r="A188" s="33"/>
      <c r="B188" s="200"/>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48"/>
    </row>
    <row r="189" ht="15.75" customHeight="1">
      <c r="A189" s="33"/>
      <c r="B189" s="200"/>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48"/>
    </row>
    <row r="190" ht="15.75" customHeight="1">
      <c r="A190" s="33"/>
      <c r="B190" s="200"/>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48"/>
    </row>
    <row r="191" ht="15.75" customHeight="1">
      <c r="A191" s="33"/>
      <c r="B191" s="200"/>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48"/>
    </row>
    <row r="192" ht="15.75" customHeight="1">
      <c r="A192" s="33"/>
      <c r="B192" s="200"/>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48"/>
    </row>
    <row r="193" ht="15.75" customHeight="1">
      <c r="A193" s="33"/>
      <c r="B193" s="200"/>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48"/>
    </row>
    <row r="194" ht="15.75" customHeight="1">
      <c r="A194" s="33"/>
      <c r="B194" s="200"/>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48"/>
    </row>
    <row r="195" ht="15.75" customHeight="1">
      <c r="A195" s="33"/>
      <c r="B195" s="200"/>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48"/>
    </row>
    <row r="196" ht="15.75" customHeight="1">
      <c r="A196" s="33"/>
      <c r="B196" s="200"/>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48"/>
    </row>
    <row r="197" ht="15.75" customHeight="1">
      <c r="A197" s="33"/>
      <c r="B197" s="200"/>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48"/>
    </row>
    <row r="198" ht="15.75" customHeight="1">
      <c r="A198" s="33"/>
      <c r="B198" s="200"/>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48"/>
    </row>
    <row r="199" ht="15.75" customHeight="1">
      <c r="A199" s="33"/>
      <c r="B199" s="200"/>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48"/>
    </row>
    <row r="200" ht="15.75" customHeight="1">
      <c r="A200" s="33"/>
      <c r="B200" s="200"/>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48"/>
    </row>
    <row r="201" ht="15.75" customHeight="1">
      <c r="A201" s="33"/>
      <c r="B201" s="200"/>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48"/>
    </row>
    <row r="202" ht="15.75" customHeight="1">
      <c r="A202" s="33"/>
      <c r="B202" s="200"/>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48"/>
    </row>
    <row r="203" ht="15.75" customHeight="1">
      <c r="A203" s="33"/>
      <c r="B203" s="200"/>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48"/>
    </row>
    <row r="204" ht="15.75" customHeight="1">
      <c r="A204" s="33"/>
      <c r="B204" s="200"/>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48"/>
    </row>
    <row r="205" ht="15.75" customHeight="1">
      <c r="A205" s="33"/>
      <c r="B205" s="200"/>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48"/>
    </row>
    <row r="206" ht="15.75" customHeight="1">
      <c r="A206" s="33"/>
      <c r="B206" s="200"/>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48"/>
    </row>
    <row r="207" ht="15.75" customHeight="1">
      <c r="A207" s="33"/>
      <c r="B207" s="200"/>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48"/>
    </row>
    <row r="208" ht="15.75" customHeight="1">
      <c r="A208" s="33"/>
      <c r="B208" s="200"/>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48"/>
    </row>
    <row r="209" ht="15.75" customHeight="1">
      <c r="A209" s="33"/>
      <c r="B209" s="200"/>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48"/>
    </row>
    <row r="210" ht="15.75" customHeight="1">
      <c r="A210" s="33"/>
      <c r="B210" s="200"/>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48"/>
    </row>
    <row r="211" ht="15.75" customHeight="1">
      <c r="A211" s="33"/>
      <c r="B211" s="200"/>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48"/>
    </row>
    <row r="212" ht="15.75" customHeight="1">
      <c r="A212" s="33"/>
      <c r="B212" s="200"/>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48"/>
    </row>
    <row r="213" ht="15.75" customHeight="1">
      <c r="A213" s="33"/>
      <c r="B213" s="200"/>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48"/>
    </row>
    <row r="214" ht="15.75" customHeight="1">
      <c r="A214" s="33"/>
      <c r="B214" s="200"/>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48"/>
    </row>
    <row r="215" ht="15.75" customHeight="1">
      <c r="A215" s="33"/>
      <c r="B215" s="200"/>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48"/>
    </row>
    <row r="216" ht="15.75" customHeight="1">
      <c r="A216" s="33"/>
      <c r="B216" s="200"/>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48"/>
    </row>
    <row r="217" ht="15.75" customHeight="1">
      <c r="A217" s="33"/>
      <c r="B217" s="200"/>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48"/>
    </row>
    <row r="218" ht="15.75" customHeight="1">
      <c r="A218" s="33"/>
      <c r="B218" s="200"/>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48"/>
    </row>
    <row r="219" ht="15.75" customHeight="1">
      <c r="A219" s="33"/>
      <c r="B219" s="200"/>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48"/>
    </row>
    <row r="220" ht="15.75" customHeight="1">
      <c r="A220" s="33"/>
      <c r="B220" s="200"/>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48"/>
    </row>
    <row r="221" ht="15.75" customHeight="1">
      <c r="A221" s="33"/>
      <c r="B221" s="200"/>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48"/>
    </row>
    <row r="222" ht="15.75" customHeight="1">
      <c r="A222" s="33"/>
      <c r="B222" s="200"/>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48"/>
    </row>
    <row r="223" ht="15.75" customHeight="1">
      <c r="A223" s="33"/>
      <c r="B223" s="200"/>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48"/>
    </row>
    <row r="224" ht="15.75" customHeight="1">
      <c r="A224" s="33"/>
      <c r="B224" s="200"/>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48"/>
    </row>
    <row r="225" ht="15.75" customHeight="1">
      <c r="A225" s="33"/>
      <c r="B225" s="200"/>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48"/>
    </row>
    <row r="226" ht="15.75" customHeight="1">
      <c r="A226" s="33"/>
      <c r="B226" s="200"/>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48"/>
    </row>
    <row r="227" ht="15.75" customHeight="1">
      <c r="A227" s="33"/>
      <c r="B227" s="200"/>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48"/>
    </row>
    <row r="228" ht="15.75" customHeight="1">
      <c r="A228" s="33"/>
      <c r="B228" s="200"/>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48"/>
    </row>
    <row r="229" ht="15.75" customHeight="1">
      <c r="A229" s="33"/>
      <c r="B229" s="200"/>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48"/>
    </row>
    <row r="230" ht="15.75" customHeight="1">
      <c r="A230" s="33"/>
      <c r="B230" s="200"/>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48"/>
    </row>
    <row r="231" ht="15.75" customHeight="1">
      <c r="A231" s="33"/>
      <c r="B231" s="200"/>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48"/>
    </row>
    <row r="232" ht="15.75" customHeight="1">
      <c r="A232" s="33"/>
      <c r="B232" s="200"/>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48"/>
    </row>
    <row r="233" ht="15.75" customHeight="1">
      <c r="A233" s="33"/>
      <c r="B233" s="200"/>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48"/>
    </row>
    <row r="234" ht="15.75" customHeight="1">
      <c r="A234" s="33"/>
      <c r="B234" s="200"/>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48"/>
    </row>
    <row r="235" ht="15.75" customHeight="1">
      <c r="A235" s="33"/>
      <c r="B235" s="200"/>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48"/>
    </row>
    <row r="236" ht="15.75" customHeight="1">
      <c r="A236" s="33"/>
      <c r="B236" s="200"/>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48"/>
    </row>
    <row r="237" ht="15.75" customHeight="1">
      <c r="A237" s="33"/>
      <c r="B237" s="200"/>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48"/>
    </row>
    <row r="238" ht="15.75" customHeight="1">
      <c r="A238" s="33"/>
      <c r="B238" s="200"/>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48"/>
    </row>
    <row r="239" ht="15.75" customHeight="1">
      <c r="A239" s="33"/>
      <c r="B239" s="200"/>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48"/>
    </row>
    <row r="240" ht="15.75" customHeight="1">
      <c r="A240" s="33"/>
      <c r="B240" s="200"/>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48"/>
    </row>
    <row r="241" ht="15.75" customHeight="1">
      <c r="A241" s="33"/>
      <c r="B241" s="200"/>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48"/>
    </row>
    <row r="242" ht="15.75" customHeight="1">
      <c r="A242" s="33"/>
      <c r="B242" s="200"/>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48"/>
    </row>
    <row r="243" ht="15.75" customHeight="1">
      <c r="A243" s="33"/>
      <c r="B243" s="200"/>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48"/>
    </row>
    <row r="244" ht="15.75" customHeight="1">
      <c r="A244" s="33"/>
      <c r="B244" s="200"/>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48"/>
    </row>
    <row r="245" ht="15.75" customHeight="1">
      <c r="A245" s="33"/>
      <c r="B245" s="200"/>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48"/>
    </row>
    <row r="246" ht="15.75" customHeight="1">
      <c r="A246" s="33"/>
      <c r="B246" s="200"/>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48"/>
    </row>
    <row r="247" ht="15.75" customHeight="1">
      <c r="A247" s="33"/>
      <c r="B247" s="200"/>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48"/>
    </row>
    <row r="248" ht="15.75" customHeight="1">
      <c r="A248" s="33"/>
      <c r="B248" s="200"/>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48"/>
    </row>
    <row r="249" ht="15.75" customHeight="1">
      <c r="A249" s="33"/>
      <c r="B249" s="200"/>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48"/>
    </row>
    <row r="250" ht="15.75" customHeight="1">
      <c r="A250" s="33"/>
      <c r="B250" s="200"/>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48"/>
    </row>
    <row r="251" ht="15.75" customHeight="1">
      <c r="A251" s="33"/>
      <c r="B251" s="200"/>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48"/>
    </row>
    <row r="252" ht="15.75" customHeight="1">
      <c r="A252" s="33"/>
      <c r="B252" s="200"/>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48"/>
    </row>
    <row r="253" ht="15.75" customHeight="1">
      <c r="A253" s="33"/>
      <c r="B253" s="200"/>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48"/>
    </row>
    <row r="254" ht="15.75" customHeight="1">
      <c r="A254" s="33"/>
      <c r="B254" s="200"/>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48"/>
    </row>
    <row r="255" ht="15.75" customHeight="1">
      <c r="A255" s="33"/>
      <c r="B255" s="200"/>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48"/>
    </row>
    <row r="256" ht="15.75" customHeight="1">
      <c r="A256" s="33"/>
      <c r="B256" s="200"/>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48"/>
    </row>
    <row r="257" ht="15.75" customHeight="1">
      <c r="A257" s="33"/>
      <c r="B257" s="200"/>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48"/>
    </row>
    <row r="258" ht="15.75" customHeight="1">
      <c r="A258" s="33"/>
      <c r="B258" s="200"/>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48"/>
    </row>
    <row r="259" ht="15.75" customHeight="1">
      <c r="A259" s="33"/>
      <c r="B259" s="200"/>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48"/>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38">
    <mergeCell ref="C1:I1"/>
    <mergeCell ref="K1:Q1"/>
    <mergeCell ref="C2:D2"/>
    <mergeCell ref="E2:H2"/>
    <mergeCell ref="K2:M2"/>
    <mergeCell ref="O2:Q2"/>
    <mergeCell ref="K13:Q13"/>
    <mergeCell ref="C13:I13"/>
    <mergeCell ref="C14:D14"/>
    <mergeCell ref="E14:H14"/>
    <mergeCell ref="K14:M14"/>
    <mergeCell ref="O14:Q14"/>
    <mergeCell ref="U20:AA20"/>
    <mergeCell ref="Y21:AA21"/>
    <mergeCell ref="V21:X21"/>
    <mergeCell ref="V22:X22"/>
    <mergeCell ref="Y22:AA22"/>
    <mergeCell ref="V23:X23"/>
    <mergeCell ref="Y23:AA23"/>
    <mergeCell ref="V24:X24"/>
    <mergeCell ref="Y24:AA24"/>
    <mergeCell ref="V25:X25"/>
    <mergeCell ref="Y25:AA25"/>
    <mergeCell ref="V26:X26"/>
    <mergeCell ref="Y26:AA26"/>
    <mergeCell ref="K27:Q27"/>
    <mergeCell ref="V27:X27"/>
    <mergeCell ref="Y27:AA27"/>
    <mergeCell ref="E74:H74"/>
    <mergeCell ref="K74:M74"/>
    <mergeCell ref="C27:I27"/>
    <mergeCell ref="C28:D28"/>
    <mergeCell ref="E28:H28"/>
    <mergeCell ref="K28:M28"/>
    <mergeCell ref="O28:Q28"/>
    <mergeCell ref="K73:Q73"/>
    <mergeCell ref="C74:D74"/>
    <mergeCell ref="O74:Q74"/>
  </mergeCells>
  <hyperlinks>
    <hyperlink r:id="rId1" ref="S6"/>
    <hyperlink r:id="rId2" ref="S15"/>
    <hyperlink r:id="rId3" ref="T15"/>
    <hyperlink r:id="rId4" ref="T18"/>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5.43"/>
    <col customWidth="1" min="5" max="5" width="21.57"/>
    <col customWidth="1" min="6" max="6" width="31.71"/>
    <col customWidth="1" min="7" max="7" width="17.71"/>
    <col customWidth="1" min="8" max="8" width="19.43"/>
    <col customWidth="1" min="9" max="9" width="14.14"/>
    <col customWidth="1" min="10" max="10" width="24.71"/>
    <col customWidth="1" min="11" max="11" width="15.86"/>
    <col customWidth="1" min="12" max="12" width="11.57"/>
    <col customWidth="1" min="13" max="13" width="13.57"/>
    <col customWidth="1" min="14" max="14" width="21.14"/>
    <col customWidth="1" min="15" max="15" width="17.0"/>
    <col customWidth="1" min="16" max="16" width="11.14"/>
    <col customWidth="1" min="17" max="17" width="10.71"/>
    <col customWidth="1" min="18" max="18" width="15.71"/>
    <col customWidth="1" min="19" max="26" width="8.71"/>
  </cols>
  <sheetData>
    <row r="1">
      <c r="A1" s="7" t="s">
        <v>2</v>
      </c>
      <c r="E1" s="7" t="s">
        <v>3</v>
      </c>
    </row>
    <row r="2">
      <c r="D2" s="7" t="s">
        <v>4</v>
      </c>
      <c r="E2" s="7" t="s">
        <v>5</v>
      </c>
      <c r="I2" s="7"/>
      <c r="J2" s="7"/>
    </row>
    <row r="3">
      <c r="D3" s="7" t="s">
        <v>7</v>
      </c>
      <c r="E3" s="7" t="s">
        <v>8</v>
      </c>
      <c r="J3" s="7"/>
    </row>
    <row r="4">
      <c r="D4" s="7" t="s">
        <v>9</v>
      </c>
      <c r="E4" s="7" t="s">
        <v>10</v>
      </c>
      <c r="I4" s="7"/>
      <c r="J4" s="7"/>
    </row>
    <row r="5">
      <c r="D5" s="7" t="s">
        <v>11</v>
      </c>
      <c r="E5" s="7" t="s">
        <v>12</v>
      </c>
      <c r="I5" s="7"/>
      <c r="J5" s="7"/>
    </row>
    <row r="6">
      <c r="D6" s="7" t="s">
        <v>14</v>
      </c>
      <c r="E6" s="7" t="s">
        <v>15</v>
      </c>
      <c r="I6" s="7"/>
      <c r="J6" s="7"/>
    </row>
    <row r="7">
      <c r="D7" s="7" t="s">
        <v>16</v>
      </c>
      <c r="E7" s="7" t="s">
        <v>17</v>
      </c>
      <c r="I7" s="7"/>
      <c r="J7" s="7"/>
    </row>
    <row r="8">
      <c r="D8" s="7" t="s">
        <v>19</v>
      </c>
      <c r="E8" s="7" t="s">
        <v>20</v>
      </c>
      <c r="I8" s="7" t="s">
        <v>21</v>
      </c>
      <c r="J8" s="7" t="s">
        <v>22</v>
      </c>
    </row>
    <row r="9">
      <c r="I9" s="7" t="s">
        <v>23</v>
      </c>
      <c r="J9" s="7" t="s">
        <v>22</v>
      </c>
    </row>
    <row r="10">
      <c r="I10" s="7" t="s">
        <v>24</v>
      </c>
      <c r="J10" s="7" t="s">
        <v>22</v>
      </c>
    </row>
    <row r="12">
      <c r="A12" s="7" t="s">
        <v>26</v>
      </c>
      <c r="D12" s="22" t="s">
        <v>28</v>
      </c>
      <c r="E12" s="26"/>
      <c r="F12" s="28"/>
      <c r="G12" s="22" t="s">
        <v>38</v>
      </c>
      <c r="H12" s="26"/>
      <c r="I12" s="28"/>
      <c r="J12" s="29" t="s">
        <v>39</v>
      </c>
      <c r="K12" s="26"/>
      <c r="L12" s="28"/>
      <c r="M12" s="30" t="s">
        <v>43</v>
      </c>
      <c r="N12" s="26"/>
      <c r="O12" s="28"/>
      <c r="P12" s="31" t="s">
        <v>44</v>
      </c>
      <c r="Q12" s="26"/>
      <c r="R12" s="28"/>
    </row>
    <row r="13">
      <c r="D13" s="32" t="s">
        <v>46</v>
      </c>
      <c r="E13" s="41" t="s">
        <v>49</v>
      </c>
      <c r="F13" s="44" t="s">
        <v>54</v>
      </c>
      <c r="G13" s="32" t="s">
        <v>46</v>
      </c>
      <c r="H13" s="41" t="s">
        <v>49</v>
      </c>
      <c r="I13" s="44" t="s">
        <v>54</v>
      </c>
      <c r="J13" s="45" t="s">
        <v>46</v>
      </c>
      <c r="K13" s="46" t="s">
        <v>49</v>
      </c>
      <c r="L13" s="51" t="s">
        <v>54</v>
      </c>
      <c r="M13" s="45" t="s">
        <v>46</v>
      </c>
      <c r="N13" s="46" t="s">
        <v>49</v>
      </c>
      <c r="O13" s="51" t="s">
        <v>54</v>
      </c>
      <c r="P13" s="45" t="s">
        <v>46</v>
      </c>
      <c r="Q13" s="46" t="s">
        <v>49</v>
      </c>
      <c r="R13" s="51" t="s">
        <v>54</v>
      </c>
    </row>
    <row r="14">
      <c r="B14" s="68" t="s">
        <v>4</v>
      </c>
      <c r="C14" s="72" t="s">
        <v>86</v>
      </c>
      <c r="D14" s="86" t="s">
        <v>89</v>
      </c>
      <c r="E14" s="88" t="s">
        <v>99</v>
      </c>
      <c r="F14" s="89" t="s">
        <v>100</v>
      </c>
      <c r="G14" s="88"/>
      <c r="H14" s="88"/>
      <c r="I14" s="91"/>
      <c r="J14" s="92"/>
      <c r="K14" s="96"/>
      <c r="L14" s="97"/>
      <c r="M14" s="92"/>
      <c r="N14" s="96"/>
      <c r="O14" s="97"/>
      <c r="P14" s="92"/>
      <c r="Q14" s="96"/>
      <c r="R14" s="97"/>
    </row>
    <row r="15">
      <c r="B15" s="98"/>
    </row>
    <row r="16">
      <c r="B16" s="98"/>
    </row>
    <row r="17">
      <c r="B17" s="98"/>
    </row>
    <row r="18">
      <c r="A18" s="7" t="s">
        <v>104</v>
      </c>
      <c r="D18" s="99" t="s">
        <v>105</v>
      </c>
      <c r="E18" s="26"/>
      <c r="F18" s="100"/>
      <c r="G18" s="101" t="s">
        <v>106</v>
      </c>
      <c r="H18" s="26"/>
      <c r="I18" s="100"/>
      <c r="J18" s="29" t="s">
        <v>107</v>
      </c>
      <c r="K18" s="26"/>
      <c r="L18" s="100"/>
      <c r="M18" s="30" t="s">
        <v>108</v>
      </c>
      <c r="N18" s="26"/>
      <c r="O18" s="100"/>
      <c r="P18" s="31" t="s">
        <v>109</v>
      </c>
      <c r="Q18" s="26"/>
      <c r="R18" s="28"/>
    </row>
    <row r="19">
      <c r="D19" s="45" t="s">
        <v>46</v>
      </c>
      <c r="E19" s="46" t="s">
        <v>49</v>
      </c>
      <c r="F19" s="102" t="s">
        <v>54</v>
      </c>
      <c r="G19" s="45" t="s">
        <v>46</v>
      </c>
      <c r="H19" s="46" t="s">
        <v>49</v>
      </c>
      <c r="I19" s="102" t="s">
        <v>54</v>
      </c>
      <c r="J19" s="45" t="s">
        <v>46</v>
      </c>
      <c r="K19" s="46" t="s">
        <v>49</v>
      </c>
      <c r="L19" s="102" t="s">
        <v>54</v>
      </c>
      <c r="M19" s="45" t="s">
        <v>46</v>
      </c>
      <c r="N19" s="46" t="s">
        <v>49</v>
      </c>
      <c r="O19" s="102" t="s">
        <v>54</v>
      </c>
      <c r="P19" s="103" t="s">
        <v>46</v>
      </c>
      <c r="Q19" s="104" t="s">
        <v>49</v>
      </c>
      <c r="R19" s="105" t="s">
        <v>54</v>
      </c>
    </row>
    <row r="20">
      <c r="B20" s="106" t="s">
        <v>7</v>
      </c>
      <c r="C20" s="107" t="s">
        <v>110</v>
      </c>
      <c r="D20" s="108"/>
      <c r="E20" s="109"/>
      <c r="F20" s="120" t="s">
        <v>112</v>
      </c>
      <c r="G20" s="122"/>
      <c r="H20" s="109"/>
      <c r="I20" s="120" t="s">
        <v>112</v>
      </c>
      <c r="J20" s="122"/>
      <c r="K20" s="109"/>
      <c r="L20" s="125" t="s">
        <v>112</v>
      </c>
      <c r="M20" s="122"/>
      <c r="N20" s="109"/>
      <c r="O20" s="120" t="s">
        <v>112</v>
      </c>
      <c r="P20" s="122"/>
      <c r="Q20" s="109"/>
      <c r="R20" s="127" t="s">
        <v>112</v>
      </c>
    </row>
    <row r="21">
      <c r="B21" s="129"/>
      <c r="C21" s="165" t="s">
        <v>189</v>
      </c>
      <c r="D21" s="167"/>
      <c r="E21" s="168"/>
      <c r="F21" s="169"/>
      <c r="G21" s="122"/>
      <c r="H21" s="168"/>
      <c r="I21" s="169"/>
      <c r="J21" s="122"/>
      <c r="K21" s="168"/>
      <c r="L21" s="169"/>
      <c r="M21" s="122"/>
      <c r="N21" s="168"/>
      <c r="O21" s="169"/>
      <c r="P21" s="122"/>
      <c r="Q21" s="168"/>
      <c r="R21" s="171"/>
    </row>
    <row r="22">
      <c r="B22" s="129"/>
      <c r="C22" s="165" t="s">
        <v>306</v>
      </c>
      <c r="D22" s="174"/>
      <c r="E22" s="168"/>
      <c r="F22" s="176" t="s">
        <v>307</v>
      </c>
      <c r="G22" s="167"/>
      <c r="H22" s="168"/>
      <c r="I22" s="169"/>
      <c r="J22" s="167"/>
      <c r="K22" s="178"/>
      <c r="L22" s="169"/>
      <c r="M22" s="174"/>
      <c r="N22" s="178"/>
      <c r="O22" s="169"/>
      <c r="P22" s="174"/>
      <c r="Q22" s="178"/>
      <c r="R22" s="171"/>
    </row>
    <row r="23" ht="70.5" customHeight="1">
      <c r="B23" s="181"/>
      <c r="C23" s="182" t="s">
        <v>86</v>
      </c>
      <c r="D23" s="92" t="s">
        <v>310</v>
      </c>
      <c r="E23" s="183"/>
      <c r="F23" s="184" t="s">
        <v>311</v>
      </c>
      <c r="G23" s="92" t="s">
        <v>310</v>
      </c>
      <c r="H23" s="183"/>
      <c r="I23" s="184" t="s">
        <v>312</v>
      </c>
      <c r="J23" s="92" t="s">
        <v>310</v>
      </c>
      <c r="K23" s="183"/>
      <c r="L23" s="184" t="s">
        <v>312</v>
      </c>
      <c r="M23" s="92" t="s">
        <v>310</v>
      </c>
      <c r="N23" s="183"/>
      <c r="O23" s="184" t="s">
        <v>312</v>
      </c>
      <c r="P23" s="92" t="s">
        <v>310</v>
      </c>
      <c r="Q23" s="96"/>
      <c r="R23" s="97" t="s">
        <v>312</v>
      </c>
    </row>
    <row r="24">
      <c r="F24" s="117"/>
      <c r="I24" s="52"/>
      <c r="L24" s="52"/>
      <c r="O24" s="52"/>
      <c r="R24" s="52"/>
    </row>
    <row r="26" ht="15.75" customHeight="1">
      <c r="D26" s="7" t="s">
        <v>313</v>
      </c>
    </row>
    <row r="27" ht="15.75" customHeight="1"/>
    <row r="28" ht="15.75" customHeight="1">
      <c r="A28" s="7" t="s">
        <v>104</v>
      </c>
      <c r="D28" s="99" t="s">
        <v>314</v>
      </c>
      <c r="E28" s="26"/>
      <c r="F28" s="100"/>
      <c r="G28" s="101" t="s">
        <v>315</v>
      </c>
      <c r="H28" s="26"/>
      <c r="I28" s="100"/>
      <c r="J28" s="29" t="s">
        <v>316</v>
      </c>
      <c r="K28" s="26"/>
      <c r="L28" s="100"/>
      <c r="M28" s="30" t="s">
        <v>317</v>
      </c>
      <c r="N28" s="26"/>
      <c r="O28" s="100"/>
      <c r="P28" s="31" t="s">
        <v>318</v>
      </c>
      <c r="Q28" s="26"/>
      <c r="R28" s="28"/>
    </row>
    <row r="29" ht="15.75" customHeight="1">
      <c r="D29" s="45" t="s">
        <v>46</v>
      </c>
      <c r="E29" s="46" t="s">
        <v>49</v>
      </c>
      <c r="F29" s="102" t="s">
        <v>54</v>
      </c>
      <c r="G29" s="45" t="s">
        <v>46</v>
      </c>
      <c r="H29" s="46" t="s">
        <v>49</v>
      </c>
      <c r="I29" s="102" t="s">
        <v>54</v>
      </c>
      <c r="J29" s="45" t="s">
        <v>46</v>
      </c>
      <c r="K29" s="46" t="s">
        <v>49</v>
      </c>
      <c r="L29" s="102" t="s">
        <v>54</v>
      </c>
      <c r="M29" s="45" t="s">
        <v>46</v>
      </c>
      <c r="N29" s="46" t="s">
        <v>49</v>
      </c>
      <c r="O29" s="102" t="s">
        <v>54</v>
      </c>
      <c r="P29" s="103" t="s">
        <v>46</v>
      </c>
      <c r="Q29" s="104" t="s">
        <v>49</v>
      </c>
      <c r="R29" s="105" t="s">
        <v>54</v>
      </c>
    </row>
    <row r="30" ht="15.75" customHeight="1">
      <c r="B30" s="185" t="s">
        <v>9</v>
      </c>
      <c r="C30" s="107" t="s">
        <v>110</v>
      </c>
      <c r="D30" s="108"/>
      <c r="E30" s="109"/>
      <c r="F30" s="120" t="s">
        <v>112</v>
      </c>
      <c r="G30" s="122"/>
      <c r="H30" s="109"/>
      <c r="I30" s="120" t="s">
        <v>112</v>
      </c>
      <c r="J30" s="122"/>
      <c r="K30" s="109"/>
      <c r="L30" s="125" t="s">
        <v>112</v>
      </c>
      <c r="M30" s="122"/>
      <c r="N30" s="109"/>
      <c r="O30" s="120" t="s">
        <v>112</v>
      </c>
      <c r="P30" s="122"/>
      <c r="Q30" s="109"/>
      <c r="R30" s="127" t="s">
        <v>112</v>
      </c>
    </row>
    <row r="31" ht="15.75" customHeight="1">
      <c r="B31" s="129"/>
      <c r="C31" s="165" t="s">
        <v>189</v>
      </c>
      <c r="D31" s="167"/>
      <c r="E31" s="168"/>
      <c r="F31" s="169"/>
      <c r="G31" s="122"/>
      <c r="H31" s="168"/>
      <c r="I31" s="169"/>
      <c r="J31" s="122"/>
      <c r="K31" s="168"/>
      <c r="L31" s="169"/>
      <c r="M31" s="122"/>
      <c r="N31" s="168"/>
      <c r="O31" s="169"/>
      <c r="P31" s="122"/>
      <c r="Q31" s="168"/>
      <c r="R31" s="171"/>
    </row>
    <row r="32" ht="15.75" customHeight="1">
      <c r="B32" s="129"/>
      <c r="C32" s="165" t="s">
        <v>306</v>
      </c>
      <c r="D32" s="174"/>
      <c r="E32" s="168"/>
      <c r="F32" s="176" t="s">
        <v>307</v>
      </c>
      <c r="G32" s="167"/>
      <c r="H32" s="168"/>
      <c r="I32" s="169"/>
      <c r="J32" s="167"/>
      <c r="K32" s="178"/>
      <c r="L32" s="169"/>
      <c r="M32" s="174"/>
      <c r="N32" s="178"/>
      <c r="O32" s="169"/>
      <c r="P32" s="174"/>
      <c r="Q32" s="178"/>
      <c r="R32" s="171"/>
    </row>
    <row r="33" ht="62.25" customHeight="1">
      <c r="B33" s="181"/>
      <c r="C33" s="182" t="s">
        <v>86</v>
      </c>
      <c r="D33" s="92" t="s">
        <v>310</v>
      </c>
      <c r="E33" s="183"/>
      <c r="F33" s="184" t="s">
        <v>319</v>
      </c>
      <c r="G33" s="92" t="s">
        <v>310</v>
      </c>
      <c r="H33" s="183"/>
      <c r="I33" s="184" t="s">
        <v>312</v>
      </c>
      <c r="J33" s="92" t="s">
        <v>310</v>
      </c>
      <c r="K33" s="183"/>
      <c r="L33" s="184" t="s">
        <v>312</v>
      </c>
      <c r="M33" s="92" t="s">
        <v>310</v>
      </c>
      <c r="N33" s="183"/>
      <c r="O33" s="184" t="s">
        <v>312</v>
      </c>
      <c r="P33" s="92" t="s">
        <v>310</v>
      </c>
      <c r="Q33" s="96"/>
      <c r="R33" s="97" t="s">
        <v>312</v>
      </c>
    </row>
    <row r="34" ht="15.75" customHeight="1">
      <c r="D34" s="7" t="s">
        <v>320</v>
      </c>
      <c r="F34" s="117"/>
      <c r="I34" s="52"/>
      <c r="L34" s="52"/>
      <c r="O34" s="52"/>
      <c r="R34" s="52"/>
    </row>
    <row r="35" ht="15.75" customHeight="1"/>
    <row r="36" ht="15.75" customHeight="1"/>
    <row r="37" ht="15.75" customHeight="1">
      <c r="A37" s="7" t="s">
        <v>321</v>
      </c>
      <c r="E37" s="7"/>
    </row>
    <row r="38" ht="15.75" customHeight="1">
      <c r="J38" s="187"/>
    </row>
    <row r="39" ht="15.75" customHeight="1">
      <c r="D39" s="99" t="s">
        <v>322</v>
      </c>
      <c r="E39" s="26"/>
      <c r="F39" s="100"/>
      <c r="G39" s="101" t="s">
        <v>323</v>
      </c>
      <c r="H39" s="26"/>
      <c r="I39" s="100"/>
      <c r="J39" s="29" t="s">
        <v>324</v>
      </c>
      <c r="K39" s="26"/>
      <c r="L39" s="100"/>
      <c r="M39" s="30" t="s">
        <v>325</v>
      </c>
      <c r="N39" s="26"/>
      <c r="O39" s="100"/>
      <c r="P39" s="31" t="s">
        <v>326</v>
      </c>
      <c r="Q39" s="26"/>
      <c r="R39" s="28"/>
    </row>
    <row r="40" ht="15.75" customHeight="1">
      <c r="D40" s="45" t="s">
        <v>46</v>
      </c>
      <c r="E40" s="46" t="s">
        <v>49</v>
      </c>
      <c r="F40" s="102" t="s">
        <v>54</v>
      </c>
      <c r="G40" s="45" t="s">
        <v>46</v>
      </c>
      <c r="H40" s="46" t="s">
        <v>49</v>
      </c>
      <c r="I40" s="102" t="s">
        <v>54</v>
      </c>
      <c r="J40" s="45" t="s">
        <v>46</v>
      </c>
      <c r="K40" s="46" t="s">
        <v>49</v>
      </c>
      <c r="L40" s="102" t="s">
        <v>54</v>
      </c>
      <c r="M40" s="45" t="s">
        <v>46</v>
      </c>
      <c r="N40" s="46" t="s">
        <v>49</v>
      </c>
      <c r="O40" s="102" t="s">
        <v>54</v>
      </c>
      <c r="P40" s="103" t="s">
        <v>46</v>
      </c>
      <c r="Q40" s="104" t="s">
        <v>49</v>
      </c>
      <c r="R40" s="105" t="s">
        <v>54</v>
      </c>
    </row>
    <row r="41" ht="15.75" customHeight="1">
      <c r="B41" s="185" t="s">
        <v>11</v>
      </c>
      <c r="C41" s="107" t="s">
        <v>110</v>
      </c>
      <c r="D41" s="108" t="s">
        <v>327</v>
      </c>
      <c r="E41" s="109" t="s">
        <v>328</v>
      </c>
      <c r="F41" s="120" t="s">
        <v>112</v>
      </c>
      <c r="G41" s="122" t="s">
        <v>329</v>
      </c>
      <c r="H41" s="109" t="s">
        <v>327</v>
      </c>
      <c r="I41" s="189" t="s">
        <v>112</v>
      </c>
      <c r="J41" s="190" t="s">
        <v>327</v>
      </c>
      <c r="K41" s="191" t="s">
        <v>327</v>
      </c>
      <c r="L41" s="204" t="s">
        <v>112</v>
      </c>
      <c r="M41" s="108" t="s">
        <v>327</v>
      </c>
      <c r="N41" s="206" t="s">
        <v>327</v>
      </c>
      <c r="O41" s="120" t="s">
        <v>112</v>
      </c>
      <c r="P41" s="108" t="s">
        <v>327</v>
      </c>
      <c r="Q41" s="206" t="s">
        <v>327</v>
      </c>
      <c r="R41" s="127" t="s">
        <v>112</v>
      </c>
    </row>
    <row r="42" ht="15.75" customHeight="1">
      <c r="B42" s="129"/>
      <c r="C42" s="165" t="s">
        <v>189</v>
      </c>
      <c r="D42" s="167" t="s">
        <v>399</v>
      </c>
      <c r="E42" s="168" t="s">
        <v>84</v>
      </c>
      <c r="F42" s="169"/>
      <c r="G42" s="122" t="s">
        <v>84</v>
      </c>
      <c r="H42" s="168" t="s">
        <v>406</v>
      </c>
      <c r="I42" s="169"/>
      <c r="J42" s="209" t="s">
        <v>410</v>
      </c>
      <c r="K42" s="191" t="s">
        <v>435</v>
      </c>
      <c r="L42" s="169"/>
      <c r="M42" s="167" t="s">
        <v>436</v>
      </c>
      <c r="N42" s="191" t="s">
        <v>437</v>
      </c>
      <c r="O42" s="169"/>
      <c r="P42" s="167" t="s">
        <v>436</v>
      </c>
      <c r="Q42" s="191" t="s">
        <v>437</v>
      </c>
      <c r="R42" s="171"/>
    </row>
    <row r="43" ht="15.75" customHeight="1">
      <c r="B43" s="129"/>
      <c r="C43" s="165" t="s">
        <v>306</v>
      </c>
      <c r="D43" s="174" t="s">
        <v>438</v>
      </c>
      <c r="E43" s="168" t="s">
        <v>439</v>
      </c>
      <c r="F43" s="176" t="s">
        <v>307</v>
      </c>
      <c r="G43" s="167" t="s">
        <v>440</v>
      </c>
      <c r="H43" s="178" t="s">
        <v>438</v>
      </c>
      <c r="I43" s="169"/>
      <c r="J43" s="217" t="s">
        <v>438</v>
      </c>
      <c r="K43" s="219" t="s">
        <v>438</v>
      </c>
      <c r="L43" s="169"/>
      <c r="M43" s="174" t="s">
        <v>438</v>
      </c>
      <c r="N43" s="219" t="s">
        <v>438</v>
      </c>
      <c r="O43" s="169"/>
      <c r="P43" s="174" t="s">
        <v>438</v>
      </c>
      <c r="Q43" s="219" t="s">
        <v>438</v>
      </c>
      <c r="R43" s="171"/>
    </row>
    <row r="44" ht="15.75" customHeight="1">
      <c r="B44" s="181"/>
      <c r="C44" s="182" t="s">
        <v>86</v>
      </c>
      <c r="D44" s="92" t="s">
        <v>310</v>
      </c>
      <c r="E44" s="183"/>
      <c r="F44" s="184" t="s">
        <v>468</v>
      </c>
      <c r="G44" s="224" t="s">
        <v>469</v>
      </c>
      <c r="H44" s="183"/>
      <c r="I44" s="225"/>
      <c r="J44" s="226"/>
      <c r="K44" s="227"/>
      <c r="L44" s="225"/>
      <c r="M44" s="92" t="s">
        <v>494</v>
      </c>
      <c r="N44" s="96"/>
      <c r="O44" s="225"/>
      <c r="P44" s="92" t="s">
        <v>494</v>
      </c>
      <c r="Q44" s="96"/>
      <c r="R44" s="229"/>
    </row>
    <row r="45" ht="15.75" customHeight="1">
      <c r="D45" s="7" t="s">
        <v>503</v>
      </c>
      <c r="E45" s="7" t="s">
        <v>505</v>
      </c>
      <c r="F45" s="117"/>
      <c r="G45" s="7" t="s">
        <v>508</v>
      </c>
      <c r="H45" s="7" t="s">
        <v>509</v>
      </c>
      <c r="I45" s="52"/>
      <c r="J45" s="7" t="s">
        <v>512</v>
      </c>
      <c r="K45" s="7" t="s">
        <v>513</v>
      </c>
      <c r="L45" s="52"/>
      <c r="M45" s="7" t="s">
        <v>514</v>
      </c>
      <c r="O45" s="52"/>
      <c r="P45" s="7" t="s">
        <v>517</v>
      </c>
      <c r="R45" s="52"/>
    </row>
    <row r="46" ht="15.75" customHeight="1">
      <c r="C46" s="231" t="s">
        <v>520</v>
      </c>
    </row>
    <row r="47" ht="15.75" customHeight="1">
      <c r="D47" s="7" t="s">
        <v>522</v>
      </c>
    </row>
    <row r="48" ht="15.75" customHeight="1"/>
    <row r="49" ht="15.75" customHeight="1">
      <c r="D49" s="99" t="s">
        <v>524</v>
      </c>
      <c r="E49" s="26"/>
      <c r="F49" s="100"/>
      <c r="G49" s="101" t="s">
        <v>529</v>
      </c>
      <c r="H49" s="26"/>
      <c r="I49" s="100"/>
      <c r="J49" s="29" t="s">
        <v>534</v>
      </c>
      <c r="K49" s="26"/>
      <c r="L49" s="100"/>
      <c r="M49" s="30" t="s">
        <v>538</v>
      </c>
      <c r="N49" s="26"/>
      <c r="O49" s="100"/>
      <c r="P49" s="31" t="s">
        <v>541</v>
      </c>
      <c r="Q49" s="26"/>
      <c r="R49" s="28"/>
    </row>
    <row r="50" ht="15.75" customHeight="1">
      <c r="D50" s="103" t="s">
        <v>46</v>
      </c>
      <c r="E50" s="104" t="s">
        <v>49</v>
      </c>
      <c r="F50" s="105" t="s">
        <v>54</v>
      </c>
      <c r="G50" s="103" t="s">
        <v>46</v>
      </c>
      <c r="H50" s="104" t="s">
        <v>49</v>
      </c>
      <c r="I50" s="105" t="s">
        <v>54</v>
      </c>
      <c r="J50" s="45" t="s">
        <v>46</v>
      </c>
      <c r="K50" s="46" t="s">
        <v>49</v>
      </c>
      <c r="L50" s="102" t="s">
        <v>54</v>
      </c>
      <c r="M50" s="45" t="s">
        <v>46</v>
      </c>
      <c r="N50" s="46" t="s">
        <v>49</v>
      </c>
      <c r="O50" s="102" t="s">
        <v>54</v>
      </c>
      <c r="P50" s="103" t="s">
        <v>46</v>
      </c>
      <c r="Q50" s="104" t="s">
        <v>49</v>
      </c>
      <c r="R50" s="105" t="s">
        <v>54</v>
      </c>
    </row>
    <row r="51" ht="15.75" customHeight="1">
      <c r="B51" s="185" t="s">
        <v>14</v>
      </c>
      <c r="C51" s="107" t="s">
        <v>110</v>
      </c>
      <c r="D51" s="190" t="s">
        <v>327</v>
      </c>
      <c r="E51" s="122" t="s">
        <v>327</v>
      </c>
      <c r="F51" s="242" t="s">
        <v>112</v>
      </c>
      <c r="G51" s="122" t="s">
        <v>327</v>
      </c>
      <c r="H51" s="109" t="s">
        <v>327</v>
      </c>
      <c r="I51" s="242" t="s">
        <v>112</v>
      </c>
      <c r="J51" s="122" t="s">
        <v>327</v>
      </c>
      <c r="K51" s="109" t="s">
        <v>327</v>
      </c>
      <c r="L51" s="120" t="s">
        <v>112</v>
      </c>
      <c r="M51" s="122" t="s">
        <v>680</v>
      </c>
      <c r="N51" s="191" t="s">
        <v>680</v>
      </c>
      <c r="O51" s="120" t="s">
        <v>112</v>
      </c>
      <c r="P51" s="190" t="s">
        <v>327</v>
      </c>
      <c r="Q51" s="109" t="s">
        <v>327</v>
      </c>
      <c r="R51" s="242" t="s">
        <v>112</v>
      </c>
    </row>
    <row r="52" ht="15.75" customHeight="1">
      <c r="B52" s="129"/>
      <c r="C52" s="165" t="s">
        <v>189</v>
      </c>
      <c r="D52" s="209" t="s">
        <v>410</v>
      </c>
      <c r="E52" s="122" t="s">
        <v>688</v>
      </c>
      <c r="F52" s="171"/>
      <c r="G52" s="122" t="s">
        <v>688</v>
      </c>
      <c r="H52" s="191" t="s">
        <v>692</v>
      </c>
      <c r="I52" s="171"/>
      <c r="J52" s="122" t="s">
        <v>688</v>
      </c>
      <c r="K52" s="191" t="s">
        <v>692</v>
      </c>
      <c r="L52" s="169"/>
      <c r="M52" s="122" t="s">
        <v>406</v>
      </c>
      <c r="N52" s="191" t="s">
        <v>406</v>
      </c>
      <c r="O52" s="169"/>
      <c r="P52" s="209" t="s">
        <v>697</v>
      </c>
      <c r="Q52" s="191" t="s">
        <v>697</v>
      </c>
      <c r="R52" s="171"/>
    </row>
    <row r="53" ht="15.75" customHeight="1">
      <c r="B53" s="129"/>
      <c r="C53" s="165" t="s">
        <v>306</v>
      </c>
      <c r="D53" s="217" t="s">
        <v>438</v>
      </c>
      <c r="E53" s="167" t="s">
        <v>701</v>
      </c>
      <c r="F53" s="171"/>
      <c r="G53" s="167" t="s">
        <v>707</v>
      </c>
      <c r="H53" s="168" t="s">
        <v>709</v>
      </c>
      <c r="I53" s="171"/>
      <c r="J53" s="167" t="s">
        <v>701</v>
      </c>
      <c r="K53" s="168" t="s">
        <v>709</v>
      </c>
      <c r="L53" s="169"/>
      <c r="M53" s="167" t="s">
        <v>711</v>
      </c>
      <c r="N53" s="191" t="s">
        <v>307</v>
      </c>
      <c r="O53" s="169"/>
      <c r="P53" s="217" t="s">
        <v>438</v>
      </c>
      <c r="Q53" s="219" t="s">
        <v>438</v>
      </c>
      <c r="R53" s="171"/>
    </row>
    <row r="54" ht="15.75" customHeight="1">
      <c r="B54" s="181"/>
      <c r="C54" s="182" t="s">
        <v>86</v>
      </c>
      <c r="D54" s="226"/>
      <c r="E54" s="224" t="s">
        <v>719</v>
      </c>
      <c r="F54" s="229"/>
      <c r="G54" s="224" t="s">
        <v>719</v>
      </c>
      <c r="H54" s="183"/>
      <c r="I54" s="229"/>
      <c r="J54" s="224" t="s">
        <v>719</v>
      </c>
      <c r="K54" s="183"/>
      <c r="L54" s="225"/>
      <c r="M54" s="224"/>
      <c r="N54" s="183"/>
      <c r="O54" s="225"/>
      <c r="P54" s="224"/>
      <c r="Q54" s="183"/>
      <c r="R54" s="229"/>
    </row>
    <row r="55" ht="15.75" customHeight="1">
      <c r="D55" s="7" t="s">
        <v>728</v>
      </c>
      <c r="E55" s="7" t="s">
        <v>729</v>
      </c>
      <c r="F55" s="117"/>
      <c r="G55" s="7" t="s">
        <v>729</v>
      </c>
      <c r="H55" s="7" t="s">
        <v>731</v>
      </c>
      <c r="I55" s="117"/>
      <c r="J55" s="7" t="s">
        <v>733</v>
      </c>
      <c r="K55" s="7" t="s">
        <v>734</v>
      </c>
      <c r="L55" s="52"/>
      <c r="M55" s="7" t="s">
        <v>735</v>
      </c>
      <c r="N55" s="7" t="s">
        <v>736</v>
      </c>
      <c r="O55" s="52"/>
      <c r="P55" s="7" t="s">
        <v>737</v>
      </c>
      <c r="R55" s="52"/>
    </row>
    <row r="56" ht="15.75" customHeight="1"/>
    <row r="57" ht="15.75" customHeight="1">
      <c r="D57" s="7" t="s">
        <v>738</v>
      </c>
    </row>
    <row r="58" ht="15.75" customHeight="1"/>
    <row r="59" ht="15.75" customHeight="1">
      <c r="D59" s="99" t="s">
        <v>741</v>
      </c>
      <c r="E59" s="26"/>
      <c r="F59" s="100"/>
      <c r="G59" s="101" t="s">
        <v>744</v>
      </c>
      <c r="H59" s="26"/>
      <c r="I59" s="100"/>
      <c r="J59" s="29" t="s">
        <v>747</v>
      </c>
      <c r="K59" s="26"/>
      <c r="L59" s="100"/>
      <c r="M59" s="30" t="s">
        <v>750</v>
      </c>
      <c r="N59" s="26"/>
      <c r="O59" s="100"/>
      <c r="P59" s="31" t="s">
        <v>753</v>
      </c>
      <c r="Q59" s="26"/>
      <c r="R59" s="28"/>
    </row>
    <row r="60" ht="15.75" customHeight="1">
      <c r="D60" s="45" t="s">
        <v>46</v>
      </c>
      <c r="E60" s="46" t="s">
        <v>49</v>
      </c>
      <c r="F60" s="102" t="s">
        <v>54</v>
      </c>
      <c r="G60" s="45" t="s">
        <v>46</v>
      </c>
      <c r="H60" s="46" t="s">
        <v>49</v>
      </c>
      <c r="I60" s="102" t="s">
        <v>54</v>
      </c>
      <c r="J60" s="45" t="s">
        <v>46</v>
      </c>
      <c r="K60" s="46" t="s">
        <v>49</v>
      </c>
      <c r="L60" s="102" t="s">
        <v>54</v>
      </c>
      <c r="M60" s="103" t="s">
        <v>46</v>
      </c>
      <c r="N60" s="104" t="s">
        <v>49</v>
      </c>
      <c r="O60" s="102" t="s">
        <v>54</v>
      </c>
      <c r="P60" s="103" t="s">
        <v>46</v>
      </c>
      <c r="Q60" s="104" t="s">
        <v>49</v>
      </c>
      <c r="R60" s="105" t="s">
        <v>54</v>
      </c>
    </row>
    <row r="61" ht="15.75" customHeight="1">
      <c r="B61" s="185" t="s">
        <v>16</v>
      </c>
      <c r="C61" s="107" t="s">
        <v>110</v>
      </c>
      <c r="D61" s="109" t="s">
        <v>771</v>
      </c>
      <c r="E61" s="206" t="s">
        <v>771</v>
      </c>
      <c r="F61" s="120" t="s">
        <v>112</v>
      </c>
      <c r="G61" s="122" t="s">
        <v>775</v>
      </c>
      <c r="H61" s="109" t="s">
        <v>775</v>
      </c>
      <c r="I61" s="125" t="s">
        <v>112</v>
      </c>
      <c r="J61" s="122" t="s">
        <v>775</v>
      </c>
      <c r="K61" s="109" t="s">
        <v>775</v>
      </c>
      <c r="L61" s="120" t="s">
        <v>112</v>
      </c>
      <c r="M61" s="122" t="s">
        <v>775</v>
      </c>
      <c r="N61" s="109" t="s">
        <v>775</v>
      </c>
      <c r="O61" s="120" t="s">
        <v>112</v>
      </c>
      <c r="P61" s="190" t="s">
        <v>327</v>
      </c>
      <c r="Q61" s="190" t="s">
        <v>327</v>
      </c>
      <c r="R61" s="246" t="s">
        <v>112</v>
      </c>
    </row>
    <row r="62" ht="15.75" customHeight="1">
      <c r="B62" s="129"/>
      <c r="C62" s="165" t="s">
        <v>189</v>
      </c>
      <c r="D62" s="168" t="s">
        <v>406</v>
      </c>
      <c r="E62" s="191" t="s">
        <v>437</v>
      </c>
      <c r="F62" s="169"/>
      <c r="G62" s="122" t="s">
        <v>437</v>
      </c>
      <c r="H62" s="168" t="s">
        <v>437</v>
      </c>
      <c r="I62" s="169"/>
      <c r="J62" s="122" t="s">
        <v>437</v>
      </c>
      <c r="K62" s="168" t="s">
        <v>437</v>
      </c>
      <c r="L62" s="169"/>
      <c r="M62" s="122" t="s">
        <v>437</v>
      </c>
      <c r="N62" s="168" t="s">
        <v>437</v>
      </c>
      <c r="O62" s="169"/>
      <c r="P62" s="209" t="s">
        <v>697</v>
      </c>
      <c r="Q62" s="209" t="s">
        <v>697</v>
      </c>
      <c r="R62" s="247"/>
    </row>
    <row r="63" ht="15.75" customHeight="1">
      <c r="B63" s="129"/>
      <c r="C63" s="165" t="s">
        <v>306</v>
      </c>
      <c r="D63" s="178" t="s">
        <v>438</v>
      </c>
      <c r="E63" s="219" t="s">
        <v>438</v>
      </c>
      <c r="F63" s="176" t="s">
        <v>307</v>
      </c>
      <c r="G63" s="174" t="s">
        <v>438</v>
      </c>
      <c r="H63" s="178" t="s">
        <v>438</v>
      </c>
      <c r="I63" s="169"/>
      <c r="J63" s="174" t="s">
        <v>438</v>
      </c>
      <c r="K63" s="178" t="s">
        <v>438</v>
      </c>
      <c r="L63" s="169"/>
      <c r="M63" s="174" t="s">
        <v>438</v>
      </c>
      <c r="N63" s="178" t="s">
        <v>438</v>
      </c>
      <c r="O63" s="169"/>
      <c r="P63" s="217" t="s">
        <v>438</v>
      </c>
      <c r="Q63" s="217" t="s">
        <v>438</v>
      </c>
      <c r="R63" s="251"/>
    </row>
    <row r="64" ht="15.75" customHeight="1">
      <c r="B64" s="181"/>
      <c r="C64" s="182" t="s">
        <v>86</v>
      </c>
      <c r="D64" s="92"/>
      <c r="E64" s="96"/>
      <c r="F64" s="252" t="s">
        <v>312</v>
      </c>
      <c r="G64" s="224"/>
      <c r="H64" s="183"/>
      <c r="I64" s="225"/>
      <c r="J64" s="224"/>
      <c r="K64" s="183"/>
      <c r="L64" s="225"/>
      <c r="M64" s="224"/>
      <c r="N64" s="183"/>
      <c r="O64" s="225"/>
      <c r="P64" s="92"/>
      <c r="Q64" s="183"/>
      <c r="R64" s="254"/>
    </row>
    <row r="65" ht="15.75" customHeight="1">
      <c r="D65" s="7" t="s">
        <v>830</v>
      </c>
      <c r="F65" s="117"/>
      <c r="G65" s="7" t="s">
        <v>831</v>
      </c>
      <c r="I65" s="52"/>
      <c r="J65" s="7" t="s">
        <v>833</v>
      </c>
      <c r="L65" s="52"/>
      <c r="M65" s="7" t="s">
        <v>833</v>
      </c>
      <c r="P65" s="7" t="s">
        <v>737</v>
      </c>
      <c r="R65" s="52"/>
    </row>
    <row r="66" ht="15.75" customHeight="1">
      <c r="G66" s="7" t="s">
        <v>836</v>
      </c>
      <c r="J66" s="7" t="s">
        <v>836</v>
      </c>
      <c r="M66" s="7" t="s">
        <v>838</v>
      </c>
    </row>
    <row r="67" ht="15.75" customHeight="1">
      <c r="D67" s="7" t="s">
        <v>839</v>
      </c>
      <c r="M67" s="7" t="s">
        <v>840</v>
      </c>
    </row>
    <row r="68" ht="15.75" customHeight="1"/>
    <row r="69" ht="15.75" customHeight="1"/>
    <row r="70" ht="15.75" customHeight="1">
      <c r="A70" s="7" t="s">
        <v>843</v>
      </c>
      <c r="D70" s="99" t="s">
        <v>845</v>
      </c>
      <c r="E70" s="26"/>
      <c r="F70" s="100"/>
      <c r="G70" s="101" t="s">
        <v>853</v>
      </c>
      <c r="H70" s="26"/>
      <c r="I70" s="100"/>
      <c r="J70" s="29" t="s">
        <v>855</v>
      </c>
      <c r="K70" s="26"/>
      <c r="L70" s="100"/>
      <c r="M70" s="30" t="s">
        <v>858</v>
      </c>
      <c r="N70" s="26"/>
      <c r="O70" s="100"/>
      <c r="P70" s="31" t="s">
        <v>863</v>
      </c>
      <c r="Q70" s="26"/>
      <c r="R70" s="28"/>
    </row>
    <row r="71" ht="15.75" customHeight="1">
      <c r="D71" s="32" t="s">
        <v>46</v>
      </c>
      <c r="E71" s="41" t="s">
        <v>49</v>
      </c>
      <c r="F71" s="255" t="s">
        <v>54</v>
      </c>
      <c r="G71" s="32" t="s">
        <v>46</v>
      </c>
      <c r="H71" s="41" t="s">
        <v>49</v>
      </c>
      <c r="I71" s="255" t="s">
        <v>54</v>
      </c>
      <c r="J71" s="32" t="s">
        <v>46</v>
      </c>
      <c r="K71" s="41" t="s">
        <v>49</v>
      </c>
      <c r="L71" s="255" t="s">
        <v>54</v>
      </c>
      <c r="M71" s="32" t="s">
        <v>46</v>
      </c>
      <c r="N71" s="41" t="s">
        <v>49</v>
      </c>
      <c r="O71" s="255" t="s">
        <v>54</v>
      </c>
      <c r="P71" s="258" t="s">
        <v>46</v>
      </c>
      <c r="Q71" s="259" t="s">
        <v>49</v>
      </c>
      <c r="R71" s="260" t="s">
        <v>54</v>
      </c>
    </row>
    <row r="72" ht="15.75" customHeight="1">
      <c r="B72" s="185" t="s">
        <v>19</v>
      </c>
      <c r="C72" s="107" t="s">
        <v>110</v>
      </c>
      <c r="D72" s="261"/>
      <c r="E72" s="262"/>
      <c r="F72" s="263" t="s">
        <v>112</v>
      </c>
      <c r="G72" s="264"/>
      <c r="H72" s="265"/>
      <c r="I72" s="263" t="s">
        <v>112</v>
      </c>
      <c r="J72" s="264"/>
      <c r="K72" s="265"/>
      <c r="L72" s="266" t="s">
        <v>112</v>
      </c>
      <c r="M72" s="264"/>
      <c r="N72" s="265"/>
      <c r="O72" s="263" t="s">
        <v>112</v>
      </c>
      <c r="P72" s="264"/>
      <c r="Q72" s="265"/>
      <c r="R72" s="270" t="s">
        <v>112</v>
      </c>
    </row>
    <row r="73" ht="15.75" customHeight="1">
      <c r="B73" s="129"/>
      <c r="C73" s="165" t="s">
        <v>189</v>
      </c>
      <c r="D73" s="276"/>
      <c r="E73" s="277"/>
      <c r="F73" s="279"/>
      <c r="G73" s="264"/>
      <c r="H73" s="281"/>
      <c r="I73" s="279"/>
      <c r="J73" s="264"/>
      <c r="K73" s="281"/>
      <c r="L73" s="279"/>
      <c r="M73" s="264"/>
      <c r="N73" s="281"/>
      <c r="O73" s="279"/>
      <c r="P73" s="264"/>
      <c r="Q73" s="281"/>
      <c r="R73" s="283"/>
    </row>
    <row r="74" ht="15.75" customHeight="1">
      <c r="B74" s="129"/>
      <c r="C74" s="165" t="s">
        <v>306</v>
      </c>
      <c r="D74" s="284"/>
      <c r="E74" s="285"/>
      <c r="F74" s="286" t="s">
        <v>307</v>
      </c>
      <c r="G74" s="284"/>
      <c r="H74" s="287"/>
      <c r="I74" s="279"/>
      <c r="J74" s="284"/>
      <c r="K74" s="287"/>
      <c r="L74" s="279"/>
      <c r="M74" s="284"/>
      <c r="N74" s="287"/>
      <c r="O74" s="279"/>
      <c r="P74" s="284"/>
      <c r="Q74" s="287"/>
      <c r="R74" s="283"/>
    </row>
    <row r="75" ht="15.75" customHeight="1">
      <c r="B75" s="181"/>
      <c r="C75" s="182" t="s">
        <v>86</v>
      </c>
      <c r="D75" s="86"/>
      <c r="E75" s="88"/>
      <c r="F75" s="288" t="s">
        <v>312</v>
      </c>
      <c r="G75" s="86"/>
      <c r="H75" s="289"/>
      <c r="I75" s="290"/>
      <c r="J75" s="291"/>
      <c r="K75" s="289"/>
      <c r="L75" s="290"/>
      <c r="M75" s="291"/>
      <c r="N75" s="289"/>
      <c r="O75" s="290"/>
      <c r="P75" s="291"/>
      <c r="Q75" s="289"/>
      <c r="R75" s="91"/>
    </row>
    <row r="76" ht="15.75" customHeight="1">
      <c r="D76" s="7" t="s">
        <v>1001</v>
      </c>
      <c r="F76" s="117"/>
      <c r="I76" s="52"/>
      <c r="L76" s="52"/>
      <c r="O76" s="52"/>
      <c r="R76" s="52"/>
    </row>
    <row r="77" ht="15.75" customHeight="1"/>
    <row r="78" ht="15.75" customHeight="1">
      <c r="D78" s="7" t="s">
        <v>1004</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1">
    <mergeCell ref="D12:F12"/>
    <mergeCell ref="G12:I12"/>
    <mergeCell ref="J12:L12"/>
    <mergeCell ref="M12:O12"/>
    <mergeCell ref="P12:R12"/>
    <mergeCell ref="D18:F18"/>
    <mergeCell ref="G18:I18"/>
    <mergeCell ref="P18:R18"/>
    <mergeCell ref="J18:L18"/>
    <mergeCell ref="M18:O18"/>
    <mergeCell ref="D28:F28"/>
    <mergeCell ref="G28:I28"/>
    <mergeCell ref="J28:L28"/>
    <mergeCell ref="M28:O28"/>
    <mergeCell ref="P28:R28"/>
    <mergeCell ref="B20:B23"/>
    <mergeCell ref="B30:B33"/>
    <mergeCell ref="G39:I39"/>
    <mergeCell ref="J39:L39"/>
    <mergeCell ref="M39:O39"/>
    <mergeCell ref="P39:R39"/>
    <mergeCell ref="B41:B44"/>
    <mergeCell ref="D39:F39"/>
    <mergeCell ref="D49:F49"/>
    <mergeCell ref="G49:I49"/>
    <mergeCell ref="J49:L49"/>
    <mergeCell ref="M49:O49"/>
    <mergeCell ref="P49:R49"/>
    <mergeCell ref="B51:B54"/>
    <mergeCell ref="G70:I70"/>
    <mergeCell ref="J70:L70"/>
    <mergeCell ref="B72:B75"/>
    <mergeCell ref="M70:O70"/>
    <mergeCell ref="P70:R70"/>
    <mergeCell ref="D59:F59"/>
    <mergeCell ref="G59:I59"/>
    <mergeCell ref="J59:L59"/>
    <mergeCell ref="M59:O59"/>
    <mergeCell ref="P59:R59"/>
    <mergeCell ref="B61:B64"/>
    <mergeCell ref="D70:F7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71"/>
    <col customWidth="1" min="2" max="2" width="7.14"/>
    <col customWidth="1" min="3" max="3" width="11.43"/>
    <col customWidth="1" min="4" max="4" width="13.57"/>
    <col customWidth="1" min="5" max="5" width="6.71"/>
    <col customWidth="1" min="6" max="6" width="16.57"/>
    <col customWidth="1" min="7" max="7" width="23.43"/>
    <col customWidth="1" min="8" max="8" width="30.14"/>
    <col customWidth="1" min="9" max="9" width="31.43"/>
    <col customWidth="1" min="10" max="10" width="26.86"/>
    <col customWidth="1" min="11" max="11" width="8.71"/>
    <col customWidth="1" min="12" max="12" width="13.14"/>
    <col customWidth="1" min="13" max="13" width="21.86"/>
    <col customWidth="1" min="14" max="14" width="9.29"/>
    <col customWidth="1" min="15" max="16" width="8.71"/>
    <col customWidth="1" min="17" max="17" width="30.0"/>
    <col customWidth="1" min="18" max="21" width="8.71"/>
    <col customWidth="1" min="22" max="22" width="13.0"/>
    <col customWidth="1" min="23" max="23" width="8.0"/>
    <col customWidth="1" min="24" max="24" width="33.43"/>
    <col customWidth="1" min="25" max="25" width="53.29"/>
    <col customWidth="1" min="26" max="26" width="28.0"/>
    <col customWidth="1" min="27" max="27" width="25.29"/>
    <col customWidth="1" min="28" max="28" width="29.86"/>
    <col customWidth="1" min="29" max="29" width="39.14"/>
    <col customWidth="1" min="30" max="30" width="37.0"/>
    <col customWidth="1" min="31" max="31" width="21.43"/>
    <col customWidth="1" min="32" max="32" width="23.43"/>
    <col customWidth="1" min="33" max="36" width="8.71"/>
    <col customWidth="1" min="37" max="37" width="23.43"/>
    <col customWidth="1" min="38" max="41" width="8.71"/>
    <col customWidth="1" min="42" max="42" width="35.0"/>
    <col customWidth="1" min="43" max="51" width="8.71"/>
  </cols>
  <sheetData>
    <row r="1">
      <c r="A1" s="2">
        <v>2026.0</v>
      </c>
      <c r="B1" s="5"/>
      <c r="C1" s="15"/>
      <c r="D1" s="15" t="s">
        <v>32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23"/>
      <c r="AL1" s="15"/>
      <c r="AM1" s="15"/>
      <c r="AN1" s="15"/>
      <c r="AO1" s="15"/>
      <c r="AP1" s="15"/>
      <c r="AQ1" s="15"/>
      <c r="AR1" s="15"/>
      <c r="AS1" s="15"/>
      <c r="AT1" s="15"/>
      <c r="AU1" s="23"/>
    </row>
    <row r="2">
      <c r="A2" s="33" t="s">
        <v>36</v>
      </c>
      <c r="B2" s="35">
        <v>46237.0</v>
      </c>
      <c r="C2" s="38"/>
      <c r="D2" s="40"/>
      <c r="E2" s="38" t="s">
        <v>50</v>
      </c>
      <c r="F2" s="38"/>
      <c r="G2" s="38"/>
      <c r="H2" s="38"/>
      <c r="I2" s="38"/>
      <c r="J2" s="38"/>
      <c r="K2" s="38"/>
      <c r="L2" s="43" t="s">
        <v>53</v>
      </c>
      <c r="N2" s="38"/>
      <c r="O2" s="38"/>
      <c r="P2" s="38"/>
      <c r="Q2" s="38"/>
      <c r="R2" s="38"/>
      <c r="S2" s="38"/>
      <c r="T2" s="38"/>
      <c r="U2" s="38"/>
      <c r="V2" s="38"/>
      <c r="W2" s="38"/>
      <c r="X2" s="38"/>
      <c r="Y2" s="38"/>
      <c r="Z2" s="38"/>
      <c r="AA2" s="38"/>
      <c r="AB2" s="38"/>
      <c r="AC2" s="38"/>
      <c r="AD2" s="38"/>
      <c r="AE2" s="38"/>
      <c r="AF2" s="38"/>
      <c r="AG2" s="38"/>
      <c r="AH2" s="38"/>
      <c r="AI2" s="38"/>
      <c r="AJ2" s="38"/>
      <c r="AK2" s="48"/>
      <c r="AL2" s="38"/>
      <c r="AM2" s="38"/>
      <c r="AN2" s="38"/>
      <c r="AO2" s="38"/>
      <c r="AP2" s="38"/>
      <c r="AQ2" s="38"/>
      <c r="AR2" s="38"/>
      <c r="AS2" s="38"/>
      <c r="AT2" s="38"/>
      <c r="AU2" s="48"/>
    </row>
    <row r="3">
      <c r="A3" s="33" t="s">
        <v>59</v>
      </c>
      <c r="B3" s="35">
        <v>46262.0</v>
      </c>
      <c r="C3" s="38"/>
      <c r="D3" s="60"/>
      <c r="E3" s="38" t="s">
        <v>79</v>
      </c>
      <c r="F3" s="38"/>
      <c r="G3" s="38"/>
      <c r="H3" s="38"/>
      <c r="I3" s="38"/>
      <c r="J3" s="38"/>
      <c r="K3" s="38"/>
      <c r="L3" s="38"/>
      <c r="M3" s="38"/>
      <c r="N3" s="38"/>
      <c r="O3" s="38"/>
      <c r="P3" s="38"/>
      <c r="Q3" s="38"/>
      <c r="R3" s="38"/>
      <c r="S3" s="38"/>
      <c r="T3" s="38"/>
      <c r="U3" s="38"/>
      <c r="V3" s="38"/>
      <c r="W3" s="38"/>
      <c r="X3" s="38"/>
      <c r="Y3" s="38"/>
      <c r="Z3" s="71"/>
      <c r="AA3" s="38"/>
      <c r="AB3" s="38"/>
      <c r="AC3" s="38"/>
      <c r="AD3" s="38"/>
      <c r="AE3" s="38"/>
      <c r="AF3" s="38"/>
      <c r="AG3" s="38"/>
      <c r="AH3" s="38"/>
      <c r="AI3" s="38"/>
      <c r="AJ3" s="38"/>
      <c r="AK3" s="48"/>
      <c r="AL3" s="38"/>
      <c r="AM3" s="38"/>
      <c r="AN3" s="38"/>
      <c r="AO3" s="38"/>
      <c r="AP3" s="38"/>
      <c r="AQ3" s="38"/>
      <c r="AR3" s="38"/>
      <c r="AS3" s="38"/>
      <c r="AT3" s="38"/>
      <c r="AU3" s="48"/>
    </row>
    <row r="4">
      <c r="A4" s="33" t="s">
        <v>94</v>
      </c>
      <c r="B4" s="77"/>
      <c r="C4" s="38"/>
      <c r="D4" s="90"/>
      <c r="E4" s="38" t="s">
        <v>103</v>
      </c>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48"/>
      <c r="AL4" s="38"/>
      <c r="AM4" s="38"/>
      <c r="AN4" s="38"/>
      <c r="AO4" s="38"/>
      <c r="AP4" s="38"/>
      <c r="AQ4" s="38"/>
      <c r="AR4" s="38"/>
      <c r="AS4" s="38"/>
      <c r="AT4" s="38"/>
      <c r="AU4" s="48"/>
    </row>
    <row r="5">
      <c r="A5" s="110" t="s">
        <v>111</v>
      </c>
      <c r="B5" s="111"/>
      <c r="C5" s="38"/>
      <c r="D5" s="112"/>
      <c r="E5" s="38" t="s">
        <v>113</v>
      </c>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48"/>
      <c r="AL5" s="38"/>
      <c r="AM5" s="38"/>
      <c r="AN5" s="38"/>
      <c r="AO5" s="38"/>
      <c r="AP5" s="38"/>
      <c r="AQ5" s="38"/>
      <c r="AR5" s="38"/>
      <c r="AS5" s="38"/>
      <c r="AT5" s="38"/>
      <c r="AU5" s="48"/>
    </row>
    <row r="6">
      <c r="A6" s="33"/>
      <c r="B6" s="38"/>
      <c r="C6" s="38"/>
      <c r="D6" s="119"/>
      <c r="E6" s="38" t="s">
        <v>150</v>
      </c>
      <c r="F6" s="38"/>
      <c r="G6" s="38"/>
      <c r="H6" s="38"/>
      <c r="I6" s="38"/>
      <c r="J6" s="38"/>
      <c r="K6" s="38"/>
      <c r="L6" s="38"/>
      <c r="M6" s="38"/>
      <c r="N6" s="38"/>
      <c r="O6" s="38"/>
      <c r="P6" s="38"/>
      <c r="Q6" s="38"/>
      <c r="R6" s="43" t="s">
        <v>163</v>
      </c>
      <c r="S6" s="38"/>
      <c r="T6" s="38"/>
      <c r="U6" s="38"/>
      <c r="V6" s="38"/>
      <c r="W6" s="38"/>
      <c r="X6" s="38"/>
      <c r="Y6" s="38"/>
      <c r="Z6" s="38"/>
      <c r="AA6" s="38"/>
      <c r="AB6" s="38"/>
      <c r="AC6" s="38"/>
      <c r="AD6" s="38"/>
      <c r="AE6" s="38"/>
      <c r="AF6" s="38"/>
      <c r="AG6" s="38"/>
      <c r="AH6" s="38"/>
      <c r="AI6" s="38"/>
      <c r="AJ6" s="38"/>
      <c r="AK6" s="48"/>
      <c r="AL6" s="38"/>
      <c r="AM6" s="38"/>
      <c r="AN6" s="38"/>
      <c r="AO6" s="38"/>
      <c r="AP6" s="38"/>
      <c r="AQ6" s="38"/>
      <c r="AR6" s="38"/>
      <c r="AS6" s="38"/>
      <c r="AT6" s="38"/>
      <c r="AU6" s="48"/>
    </row>
    <row r="7">
      <c r="A7" s="131" t="s">
        <v>114</v>
      </c>
      <c r="B7" s="132" t="s">
        <v>190</v>
      </c>
      <c r="C7" s="133" t="s">
        <v>191</v>
      </c>
      <c r="D7" s="134">
        <v>0.3333333333333333</v>
      </c>
      <c r="E7" s="133" t="s">
        <v>192</v>
      </c>
      <c r="F7" s="134">
        <v>0.375</v>
      </c>
      <c r="G7" s="135"/>
      <c r="H7" s="135"/>
      <c r="I7" s="135"/>
      <c r="J7" s="134">
        <v>0.4166666666666667</v>
      </c>
      <c r="K7" s="135"/>
      <c r="L7" s="135"/>
      <c r="M7" s="135"/>
      <c r="N7" s="134">
        <v>0.4583333333333333</v>
      </c>
      <c r="O7" s="135"/>
      <c r="P7" s="135"/>
      <c r="Q7" s="135"/>
      <c r="R7" s="134">
        <v>0.5</v>
      </c>
      <c r="S7" s="135"/>
      <c r="T7" s="135"/>
      <c r="U7" s="135"/>
      <c r="V7" s="134">
        <v>0.5416666666666666</v>
      </c>
      <c r="W7" s="135"/>
      <c r="X7" s="135"/>
      <c r="Y7" s="135"/>
      <c r="Z7" s="134">
        <v>0.5833333333333334</v>
      </c>
      <c r="AA7" s="135"/>
      <c r="AB7" s="135"/>
      <c r="AC7" s="135"/>
      <c r="AD7" s="134">
        <v>0.625</v>
      </c>
      <c r="AE7" s="135"/>
      <c r="AF7" s="135"/>
      <c r="AG7" s="135"/>
      <c r="AH7" s="134">
        <v>0.6666666666666666</v>
      </c>
      <c r="AI7" s="135"/>
      <c r="AJ7" s="135"/>
      <c r="AK7" s="133"/>
      <c r="AL7" s="134">
        <v>0.7083333333333334</v>
      </c>
      <c r="AM7" s="38" t="s">
        <v>192</v>
      </c>
      <c r="AN7" s="166">
        <v>0.8333333333333334</v>
      </c>
      <c r="AO7" s="38"/>
      <c r="AP7" s="38"/>
      <c r="AQ7" s="38"/>
      <c r="AR7" s="38"/>
      <c r="AS7" s="38"/>
      <c r="AT7" s="38"/>
      <c r="AU7" s="48"/>
    </row>
    <row r="8">
      <c r="A8" s="170" t="s">
        <v>303</v>
      </c>
      <c r="B8" s="38">
        <v>1.0</v>
      </c>
      <c r="C8" s="172" t="s">
        <v>304</v>
      </c>
      <c r="D8" s="173" t="s">
        <v>305</v>
      </c>
      <c r="E8" s="175"/>
      <c r="F8" s="112" t="s">
        <v>308</v>
      </c>
      <c r="G8" s="112"/>
      <c r="H8" s="177"/>
      <c r="J8" s="38"/>
      <c r="M8" s="179" t="s">
        <v>309</v>
      </c>
      <c r="N8" s="180"/>
      <c r="O8" s="180"/>
      <c r="R8" s="203"/>
      <c r="S8" s="203"/>
      <c r="T8" s="203"/>
      <c r="U8" s="203"/>
      <c r="V8" s="179" t="s">
        <v>359</v>
      </c>
      <c r="W8" s="207"/>
      <c r="X8" s="207"/>
      <c r="Y8" s="38"/>
      <c r="Z8" s="38"/>
      <c r="AA8" s="179" t="s">
        <v>433</v>
      </c>
      <c r="AB8" s="207"/>
      <c r="AC8" s="207"/>
      <c r="AD8" s="38"/>
      <c r="AE8" s="38"/>
      <c r="AF8" s="38"/>
      <c r="AG8" s="38"/>
      <c r="AH8" s="38"/>
      <c r="AI8" s="38"/>
      <c r="AJ8" s="38"/>
      <c r="AK8" s="48"/>
      <c r="AL8" s="213"/>
      <c r="AM8" s="38"/>
      <c r="AN8" s="38"/>
      <c r="AO8" s="38"/>
      <c r="AP8" s="38"/>
      <c r="AQ8" s="38"/>
      <c r="AR8" s="38"/>
      <c r="AS8" s="38"/>
      <c r="AT8" s="38"/>
      <c r="AU8" s="48"/>
    </row>
    <row r="9">
      <c r="A9" s="216" t="s">
        <v>441</v>
      </c>
      <c r="B9" s="38">
        <v>2.0</v>
      </c>
      <c r="C9" s="48"/>
      <c r="E9" s="48"/>
      <c r="F9" s="43" t="s">
        <v>442</v>
      </c>
      <c r="I9" s="218" t="s">
        <v>443</v>
      </c>
      <c r="J9" s="177"/>
      <c r="K9" s="177"/>
      <c r="L9" s="177"/>
      <c r="P9" s="179" t="s">
        <v>447</v>
      </c>
      <c r="Q9" s="207"/>
      <c r="R9" s="203"/>
      <c r="S9" s="203"/>
      <c r="T9" s="203"/>
      <c r="U9" s="203"/>
      <c r="V9" s="43" t="s">
        <v>456</v>
      </c>
      <c r="W9" s="38"/>
      <c r="X9" s="71"/>
      <c r="Y9" s="179" t="s">
        <v>461</v>
      </c>
      <c r="Z9" s="207"/>
      <c r="AA9" s="7" t="s">
        <v>465</v>
      </c>
      <c r="AC9" s="38"/>
      <c r="AD9" s="222" t="s">
        <v>467</v>
      </c>
      <c r="AE9" s="90"/>
      <c r="AF9" s="38"/>
      <c r="AG9" s="14"/>
      <c r="AH9" s="222" t="s">
        <v>470</v>
      </c>
      <c r="AI9" s="90"/>
      <c r="AJ9" s="38"/>
      <c r="AK9" s="48"/>
      <c r="AL9" s="230" t="s">
        <v>474</v>
      </c>
      <c r="AM9" s="232"/>
      <c r="AN9" s="232"/>
      <c r="AO9" s="232"/>
      <c r="AP9" s="38"/>
      <c r="AQ9" s="38"/>
      <c r="AR9" s="38"/>
      <c r="AS9" s="38"/>
      <c r="AT9" s="38"/>
      <c r="AU9" s="48"/>
    </row>
    <row r="10">
      <c r="A10" s="216" t="s">
        <v>535</v>
      </c>
      <c r="B10" s="38">
        <v>3.0</v>
      </c>
      <c r="C10" s="48"/>
      <c r="D10" s="38"/>
      <c r="E10" s="48"/>
      <c r="F10" s="71" t="s">
        <v>547</v>
      </c>
      <c r="I10" s="43" t="s">
        <v>549</v>
      </c>
      <c r="M10" s="43" t="s">
        <v>551</v>
      </c>
      <c r="N10" s="235"/>
      <c r="O10" s="38"/>
      <c r="R10" s="203"/>
      <c r="S10" s="203"/>
      <c r="T10" s="203"/>
      <c r="U10" s="203"/>
      <c r="AA10" s="7" t="s">
        <v>563</v>
      </c>
      <c r="AD10" s="36" t="s">
        <v>564</v>
      </c>
      <c r="AF10" s="241" t="s">
        <v>467</v>
      </c>
      <c r="AG10" s="112"/>
      <c r="AH10" s="199"/>
      <c r="AI10" s="14"/>
      <c r="AJ10" s="241" t="s">
        <v>470</v>
      </c>
      <c r="AK10" s="112"/>
      <c r="AL10" s="248" t="s">
        <v>663</v>
      </c>
      <c r="AM10" s="249"/>
      <c r="AN10" s="249"/>
      <c r="AO10" s="249"/>
      <c r="AP10" s="250"/>
      <c r="AQ10" s="38"/>
      <c r="AR10" s="38"/>
      <c r="AS10" s="38"/>
      <c r="AT10" s="38"/>
      <c r="AU10" s="48"/>
    </row>
    <row r="11" ht="18.75" customHeight="1">
      <c r="A11" s="216" t="s">
        <v>815</v>
      </c>
      <c r="B11" s="38">
        <v>4.0</v>
      </c>
      <c r="C11" s="48"/>
      <c r="D11" s="38"/>
      <c r="E11" s="48"/>
      <c r="I11" s="253" t="s">
        <v>823</v>
      </c>
      <c r="M11" s="43" t="s">
        <v>826</v>
      </c>
      <c r="N11" s="38"/>
      <c r="O11" s="38"/>
      <c r="R11" s="203"/>
      <c r="S11" s="203"/>
      <c r="T11" s="203"/>
      <c r="U11" s="203"/>
      <c r="AF11" s="235"/>
      <c r="AG11" s="235"/>
      <c r="AH11" s="199"/>
      <c r="AI11" s="14"/>
      <c r="AJ11" s="200"/>
      <c r="AK11" s="48"/>
      <c r="AL11" s="200"/>
      <c r="AM11" s="38"/>
      <c r="AQ11" s="235"/>
      <c r="AR11" s="235"/>
      <c r="AS11" s="38"/>
      <c r="AT11" s="38"/>
      <c r="AU11" s="48"/>
    </row>
    <row r="12">
      <c r="A12" s="216" t="s">
        <v>849</v>
      </c>
      <c r="B12" s="38">
        <v>5.0</v>
      </c>
      <c r="C12" s="48"/>
      <c r="D12" s="38"/>
      <c r="E12" s="48"/>
      <c r="I12" s="71" t="s">
        <v>547</v>
      </c>
      <c r="K12" s="38"/>
      <c r="L12" s="38"/>
      <c r="M12" s="7" t="s">
        <v>859</v>
      </c>
      <c r="R12" s="203"/>
      <c r="S12" s="203"/>
      <c r="T12" s="203"/>
      <c r="U12" s="203"/>
      <c r="AC12" s="43"/>
      <c r="AD12" s="43" t="s">
        <v>869</v>
      </c>
      <c r="AF12" s="38"/>
      <c r="AG12" s="235"/>
      <c r="AH12" s="199"/>
      <c r="AI12" s="14"/>
      <c r="AJ12" s="200"/>
      <c r="AK12" s="48"/>
      <c r="AP12" s="256"/>
      <c r="AS12" s="38"/>
      <c r="AT12" s="38"/>
      <c r="AU12" s="48"/>
    </row>
    <row r="13">
      <c r="B13" s="38">
        <v>6.0</v>
      </c>
      <c r="C13" s="48"/>
      <c r="D13" s="38"/>
      <c r="E13" s="48"/>
      <c r="F13" s="38"/>
      <c r="G13" s="38"/>
      <c r="H13" s="38"/>
      <c r="I13" s="38"/>
      <c r="J13" s="38"/>
      <c r="K13" s="38"/>
      <c r="L13" s="38"/>
      <c r="M13" s="43" t="s">
        <v>877</v>
      </c>
      <c r="N13" s="38"/>
      <c r="O13" s="38"/>
      <c r="P13" s="38"/>
      <c r="Q13" s="38"/>
      <c r="R13" s="203"/>
      <c r="S13" s="203"/>
      <c r="T13" s="203"/>
      <c r="U13" s="203"/>
      <c r="AB13" s="71"/>
      <c r="AK13" s="267"/>
      <c r="AL13" s="200"/>
      <c r="AM13" s="38"/>
      <c r="AN13" s="268"/>
      <c r="AO13" s="38"/>
      <c r="AP13" s="38"/>
      <c r="AQ13" s="38"/>
      <c r="AR13" s="38"/>
      <c r="AS13" s="38"/>
      <c r="AT13" s="38"/>
      <c r="AU13" s="48"/>
    </row>
    <row r="14">
      <c r="A14" s="216" t="s">
        <v>878</v>
      </c>
      <c r="B14" s="38">
        <v>7.0</v>
      </c>
      <c r="C14" s="48"/>
      <c r="D14" s="38"/>
      <c r="E14" s="48"/>
      <c r="F14" s="38"/>
      <c r="G14" s="38"/>
      <c r="H14" s="38"/>
      <c r="I14" s="38"/>
      <c r="J14" s="38"/>
      <c r="K14" s="38"/>
      <c r="L14" s="38"/>
      <c r="M14" s="38"/>
      <c r="N14" s="38"/>
      <c r="O14" s="38"/>
      <c r="P14" s="38"/>
      <c r="Q14" s="38"/>
      <c r="R14" s="203"/>
      <c r="S14" s="203"/>
      <c r="T14" s="203"/>
      <c r="U14" s="203"/>
      <c r="AK14" s="272"/>
      <c r="AQ14" s="38"/>
      <c r="AR14" s="38"/>
      <c r="AS14" s="38"/>
      <c r="AT14" s="38"/>
      <c r="AU14" s="273"/>
      <c r="AV14" s="38"/>
      <c r="AW14" s="38"/>
      <c r="AX14" s="268"/>
      <c r="AY14" s="268"/>
    </row>
    <row r="15">
      <c r="A15" s="275"/>
      <c r="B15" s="38"/>
      <c r="C15" s="48"/>
      <c r="D15" s="38"/>
      <c r="E15" s="48"/>
      <c r="J15" s="14"/>
      <c r="K15" s="38"/>
      <c r="L15" s="278"/>
      <c r="M15" s="278"/>
      <c r="N15" s="280"/>
      <c r="O15" s="198"/>
      <c r="P15" s="198"/>
      <c r="Q15" s="38"/>
      <c r="R15" s="203"/>
      <c r="S15" s="203"/>
      <c r="T15" s="203"/>
      <c r="U15" s="203"/>
      <c r="AA15" s="14"/>
      <c r="AB15" s="14"/>
      <c r="AC15" s="278"/>
      <c r="AD15" s="38"/>
      <c r="AE15" s="38"/>
      <c r="AF15" s="14"/>
      <c r="AG15" s="14"/>
      <c r="AH15" s="38"/>
      <c r="AK15" s="272"/>
      <c r="AL15" s="38"/>
      <c r="AM15" s="38"/>
      <c r="AN15" s="199"/>
      <c r="AO15" s="199"/>
      <c r="AP15" s="38"/>
      <c r="AQ15" s="38"/>
      <c r="AR15" s="38"/>
      <c r="AS15" s="38"/>
      <c r="AT15" s="38"/>
      <c r="AU15" s="48"/>
    </row>
    <row r="16">
      <c r="A16" s="170" t="s">
        <v>982</v>
      </c>
      <c r="B16" s="38">
        <v>1.0</v>
      </c>
      <c r="C16" s="172" t="s">
        <v>304</v>
      </c>
      <c r="D16" s="173" t="s">
        <v>305</v>
      </c>
      <c r="E16" s="173"/>
      <c r="F16" s="222" t="s">
        <v>987</v>
      </c>
      <c r="G16" s="90"/>
      <c r="J16" s="222" t="s">
        <v>990</v>
      </c>
      <c r="K16" s="90"/>
      <c r="N16" s="222" t="s">
        <v>991</v>
      </c>
      <c r="O16" s="90"/>
      <c r="P16" s="38"/>
      <c r="Q16" s="14"/>
      <c r="R16" s="203"/>
      <c r="S16" s="203"/>
      <c r="T16" s="203"/>
      <c r="U16" s="203"/>
      <c r="V16" s="222" t="s">
        <v>996</v>
      </c>
      <c r="W16" s="90"/>
      <c r="X16" s="38"/>
      <c r="Y16" s="14"/>
      <c r="Z16" s="222" t="s">
        <v>999</v>
      </c>
      <c r="AA16" s="90"/>
      <c r="AB16" s="38"/>
      <c r="AC16" s="14"/>
      <c r="AD16" s="222" t="s">
        <v>1005</v>
      </c>
      <c r="AE16" s="90"/>
      <c r="AF16" s="38"/>
      <c r="AG16" s="14"/>
      <c r="AH16" s="292"/>
      <c r="AI16" s="222" t="s">
        <v>1008</v>
      </c>
      <c r="AJ16" s="90"/>
      <c r="AL16" s="230" t="s">
        <v>474</v>
      </c>
      <c r="AM16" s="232"/>
      <c r="AN16" s="232"/>
      <c r="AO16" s="232"/>
      <c r="AP16" s="71"/>
      <c r="AQ16" s="38"/>
      <c r="AR16" s="38"/>
      <c r="AS16" s="38"/>
      <c r="AT16" s="38"/>
      <c r="AU16" s="48"/>
    </row>
    <row r="17" ht="15.0" customHeight="1">
      <c r="A17" s="7" t="s">
        <v>1015</v>
      </c>
      <c r="B17" s="38">
        <v>2.0</v>
      </c>
      <c r="C17" s="48"/>
      <c r="D17" s="38"/>
      <c r="E17" s="48"/>
      <c r="F17" s="7" t="s">
        <v>1018</v>
      </c>
      <c r="H17" s="241" t="s">
        <v>987</v>
      </c>
      <c r="I17" s="112"/>
      <c r="L17" s="241" t="s">
        <v>990</v>
      </c>
      <c r="M17" s="112"/>
      <c r="N17" s="7" t="s">
        <v>1022</v>
      </c>
      <c r="P17" s="241" t="s">
        <v>991</v>
      </c>
      <c r="Q17" s="112"/>
      <c r="R17" s="203"/>
      <c r="S17" s="203"/>
      <c r="T17" s="203"/>
      <c r="U17" s="203"/>
      <c r="X17" s="241" t="s">
        <v>996</v>
      </c>
      <c r="Y17" s="112"/>
      <c r="Z17" s="7" t="s">
        <v>1027</v>
      </c>
      <c r="AB17" s="294" t="s">
        <v>999</v>
      </c>
      <c r="AC17" s="177"/>
      <c r="AD17" s="7" t="s">
        <v>1031</v>
      </c>
      <c r="AF17" s="294" t="s">
        <v>1005</v>
      </c>
      <c r="AG17" s="177"/>
      <c r="AH17" s="177"/>
      <c r="AI17" s="7" t="s">
        <v>1033</v>
      </c>
      <c r="AK17" s="241" t="s">
        <v>1008</v>
      </c>
      <c r="AL17" s="200"/>
      <c r="AM17" s="38"/>
      <c r="AN17" s="38"/>
      <c r="AO17" s="38"/>
      <c r="AP17" s="295"/>
      <c r="AQ17" s="38"/>
      <c r="AR17" s="38"/>
      <c r="AS17" s="38"/>
      <c r="AT17" s="38"/>
      <c r="AU17" s="48"/>
    </row>
    <row r="18">
      <c r="A18" s="7" t="s">
        <v>1045</v>
      </c>
      <c r="B18" s="38">
        <v>3.0</v>
      </c>
      <c r="C18" s="48"/>
      <c r="D18" s="38"/>
      <c r="E18" s="48"/>
      <c r="R18" s="203"/>
      <c r="S18" s="203"/>
      <c r="T18" s="203"/>
      <c r="U18" s="203"/>
      <c r="Z18" s="36" t="s">
        <v>1053</v>
      </c>
      <c r="AA18" s="38"/>
      <c r="AB18" s="38"/>
      <c r="AE18" s="36"/>
      <c r="AF18" s="38"/>
      <c r="AG18" s="38"/>
      <c r="AJ18" s="38"/>
      <c r="AK18" s="48"/>
      <c r="AM18" s="38"/>
      <c r="AN18" s="38"/>
      <c r="AO18" s="38"/>
      <c r="AP18" s="38"/>
      <c r="AQ18" s="38"/>
      <c r="AR18" s="38"/>
      <c r="AS18" s="38"/>
      <c r="AT18" s="38"/>
      <c r="AU18" s="48"/>
    </row>
    <row r="19">
      <c r="A19" s="216" t="s">
        <v>1068</v>
      </c>
      <c r="B19" s="38">
        <v>4.0</v>
      </c>
      <c r="C19" s="48"/>
      <c r="D19" s="38"/>
      <c r="E19" s="48"/>
      <c r="R19" s="203"/>
      <c r="S19" s="203"/>
      <c r="T19" s="203"/>
      <c r="U19" s="203"/>
      <c r="AK19" s="48"/>
      <c r="AM19" s="38"/>
      <c r="AN19" s="38"/>
      <c r="AO19" s="38"/>
      <c r="AP19" s="38"/>
      <c r="AQ19" s="38"/>
      <c r="AR19" s="38"/>
      <c r="AS19" s="38"/>
      <c r="AT19" s="38"/>
      <c r="AU19" s="48"/>
    </row>
    <row r="20" ht="15.75" customHeight="1">
      <c r="A20" s="216" t="s">
        <v>1083</v>
      </c>
      <c r="B20" s="38"/>
      <c r="C20" s="48"/>
      <c r="D20" s="38"/>
      <c r="E20" s="48"/>
      <c r="F20" s="14"/>
      <c r="G20" s="14"/>
      <c r="H20" s="14"/>
      <c r="I20" s="14"/>
      <c r="J20" s="14"/>
      <c r="K20" s="14"/>
      <c r="L20" s="14"/>
      <c r="M20" s="14"/>
      <c r="N20" s="14"/>
      <c r="O20" s="14"/>
      <c r="P20" s="14"/>
      <c r="Q20" s="14"/>
      <c r="R20" s="203"/>
      <c r="S20" s="203"/>
      <c r="T20" s="203"/>
      <c r="U20" s="203"/>
      <c r="V20" s="14"/>
      <c r="W20" s="14"/>
      <c r="X20" s="14"/>
      <c r="Y20" s="14"/>
      <c r="Z20" s="14"/>
      <c r="AA20" s="14"/>
      <c r="AB20" s="14"/>
      <c r="AC20" s="14"/>
      <c r="AD20" s="14"/>
      <c r="AE20" s="14"/>
      <c r="AF20" s="14"/>
      <c r="AG20" s="14"/>
      <c r="AH20" s="14"/>
      <c r="AI20" s="14"/>
      <c r="AJ20" s="14"/>
      <c r="AK20" s="48"/>
      <c r="AL20" s="14"/>
      <c r="AM20" s="38"/>
      <c r="AN20" s="38"/>
      <c r="AO20" s="38"/>
      <c r="AP20" s="38"/>
      <c r="AQ20" s="38"/>
      <c r="AR20" s="38"/>
      <c r="AS20" s="38"/>
      <c r="AT20" s="38"/>
      <c r="AU20" s="48"/>
    </row>
    <row r="21" ht="15.75" customHeight="1">
      <c r="A21" s="33"/>
      <c r="B21" s="38"/>
      <c r="C21" s="48"/>
      <c r="D21" s="38"/>
      <c r="E21" s="48"/>
      <c r="F21" s="14"/>
      <c r="G21" s="14"/>
      <c r="H21" s="14"/>
      <c r="I21" s="14"/>
      <c r="J21" s="14"/>
      <c r="K21" s="14"/>
      <c r="L21" s="14"/>
      <c r="M21" s="14"/>
      <c r="N21" s="14"/>
      <c r="O21" s="14"/>
      <c r="P21" s="14"/>
      <c r="Q21" s="14"/>
      <c r="R21" s="203"/>
      <c r="S21" s="203"/>
      <c r="T21" s="203"/>
      <c r="U21" s="203"/>
      <c r="V21" s="14"/>
      <c r="W21" s="14"/>
      <c r="X21" s="14"/>
      <c r="Y21" s="14"/>
      <c r="Z21" s="14"/>
      <c r="AA21" s="14"/>
      <c r="AB21" s="14"/>
      <c r="AC21" s="14"/>
      <c r="AD21" s="14"/>
      <c r="AE21" s="14"/>
      <c r="AF21" s="14"/>
      <c r="AG21" s="14"/>
      <c r="AH21" s="14"/>
      <c r="AI21" s="14"/>
      <c r="AJ21" s="14"/>
      <c r="AK21" s="48"/>
      <c r="AL21" s="14"/>
      <c r="AM21" s="38"/>
      <c r="AN21" s="38"/>
      <c r="AO21" s="38"/>
      <c r="AP21" s="38"/>
      <c r="AQ21" s="38"/>
      <c r="AR21" s="38"/>
      <c r="AS21" s="38"/>
      <c r="AT21" s="38"/>
      <c r="AU21" s="48"/>
    </row>
    <row r="22" ht="15.75" customHeight="1">
      <c r="A22" s="33"/>
      <c r="B22" s="38"/>
      <c r="C22" s="48"/>
      <c r="D22" s="38"/>
      <c r="E22" s="48"/>
      <c r="F22" s="14"/>
      <c r="G22" s="14"/>
      <c r="H22" s="14"/>
      <c r="I22" s="14"/>
      <c r="J22" s="14"/>
      <c r="K22" s="14"/>
      <c r="L22" s="14"/>
      <c r="M22" s="14"/>
      <c r="N22" s="14"/>
      <c r="O22" s="14"/>
      <c r="P22" s="14"/>
      <c r="Q22" s="14"/>
      <c r="R22" s="203"/>
      <c r="S22" s="203"/>
      <c r="T22" s="203"/>
      <c r="U22" s="203"/>
      <c r="V22" s="14"/>
      <c r="W22" s="14"/>
      <c r="X22" s="14"/>
      <c r="Y22" s="14"/>
      <c r="Z22" s="14"/>
      <c r="AA22" s="14"/>
      <c r="AB22" s="14"/>
      <c r="AC22" s="14"/>
      <c r="AD22" s="14"/>
      <c r="AE22" s="14"/>
      <c r="AF22" s="14"/>
      <c r="AG22" s="14"/>
      <c r="AH22" s="14"/>
      <c r="AI22" s="14"/>
      <c r="AJ22" s="14"/>
      <c r="AK22" s="48"/>
      <c r="AL22" s="14"/>
      <c r="AM22" s="38"/>
      <c r="AN22" s="38"/>
      <c r="AO22" s="38"/>
      <c r="AP22" s="38"/>
      <c r="AQ22" s="38"/>
      <c r="AR22" s="38"/>
      <c r="AS22" s="38"/>
      <c r="AT22" s="38"/>
      <c r="AU22" s="48"/>
    </row>
    <row r="23" ht="15.75" customHeight="1">
      <c r="A23" s="33"/>
      <c r="B23" s="38"/>
      <c r="C23" s="48"/>
      <c r="D23" s="38"/>
      <c r="E23" s="48"/>
      <c r="F23" s="38"/>
      <c r="G23" s="38"/>
      <c r="H23" s="38"/>
      <c r="I23" s="38"/>
      <c r="J23" s="38"/>
      <c r="Q23" s="38"/>
      <c r="R23" s="203"/>
      <c r="S23" s="203"/>
      <c r="T23" s="203"/>
      <c r="U23" s="203"/>
      <c r="V23" s="38"/>
      <c r="W23" s="38"/>
      <c r="X23" s="38"/>
      <c r="Y23" s="38"/>
      <c r="Z23" s="38"/>
      <c r="AA23" s="38"/>
      <c r="AB23" s="38"/>
      <c r="AC23" s="38"/>
      <c r="AD23" s="38"/>
      <c r="AE23" s="38"/>
      <c r="AF23" s="38"/>
      <c r="AG23" s="38"/>
      <c r="AH23" s="38"/>
      <c r="AI23" s="38"/>
      <c r="AJ23" s="38"/>
      <c r="AK23" s="48"/>
      <c r="AL23" s="38"/>
      <c r="AM23" s="38"/>
      <c r="AN23" s="38"/>
      <c r="AO23" s="38"/>
      <c r="AP23" s="38"/>
      <c r="AQ23" s="38"/>
      <c r="AR23" s="38"/>
      <c r="AS23" s="38"/>
      <c r="AT23" s="38"/>
      <c r="AU23" s="48"/>
    </row>
    <row r="24" ht="15.75" customHeight="1">
      <c r="A24" s="170" t="s">
        <v>1210</v>
      </c>
      <c r="B24" s="38">
        <v>1.0</v>
      </c>
      <c r="C24" s="48"/>
      <c r="D24" s="173" t="s">
        <v>305</v>
      </c>
      <c r="E24" s="173"/>
      <c r="F24" s="222" t="s">
        <v>1005</v>
      </c>
      <c r="G24" s="90"/>
      <c r="H24" s="38"/>
      <c r="I24" s="14"/>
      <c r="K24" s="222" t="s">
        <v>1008</v>
      </c>
      <c r="L24" s="90"/>
      <c r="M24" s="90"/>
      <c r="N24" s="38"/>
      <c r="O24" s="14"/>
      <c r="P24" s="292"/>
      <c r="Q24" s="14"/>
      <c r="R24" s="203"/>
      <c r="S24" s="203"/>
      <c r="T24" s="203"/>
      <c r="U24" s="203"/>
      <c r="V24" s="299" t="s">
        <v>1220</v>
      </c>
      <c r="W24" s="180"/>
      <c r="X24" s="180"/>
      <c r="Y24" s="14"/>
      <c r="AB24" s="299" t="s">
        <v>1224</v>
      </c>
      <c r="AC24" s="180"/>
      <c r="AD24" s="38"/>
      <c r="AE24" s="300"/>
      <c r="AF24" s="299" t="s">
        <v>1228</v>
      </c>
      <c r="AG24" s="180"/>
      <c r="AI24" s="14"/>
      <c r="AJ24" s="299" t="s">
        <v>1231</v>
      </c>
      <c r="AK24" s="180"/>
      <c r="AL24" s="301" t="s">
        <v>474</v>
      </c>
      <c r="AM24" s="232"/>
      <c r="AN24" s="232"/>
      <c r="AO24" s="232"/>
      <c r="AP24" s="295"/>
      <c r="AQ24" s="38"/>
      <c r="AR24" s="38"/>
      <c r="AS24" s="38"/>
      <c r="AT24" s="38"/>
      <c r="AU24" s="48"/>
    </row>
    <row r="25" ht="15.75" customHeight="1">
      <c r="A25" s="216" t="s">
        <v>1241</v>
      </c>
      <c r="B25" s="38">
        <v>2.0</v>
      </c>
      <c r="C25" s="48"/>
      <c r="D25" s="38"/>
      <c r="E25" s="48"/>
      <c r="F25" s="7" t="s">
        <v>1245</v>
      </c>
      <c r="H25" s="294" t="s">
        <v>1005</v>
      </c>
      <c r="I25" s="177"/>
      <c r="J25" s="177"/>
      <c r="K25" s="7" t="s">
        <v>1249</v>
      </c>
      <c r="N25" s="294" t="s">
        <v>1008</v>
      </c>
      <c r="O25" s="177"/>
      <c r="P25" s="177"/>
      <c r="Q25" s="112"/>
      <c r="R25" s="203"/>
      <c r="S25" s="203"/>
      <c r="T25" s="203"/>
      <c r="U25" s="203"/>
      <c r="V25" s="7" t="s">
        <v>1257</v>
      </c>
      <c r="Y25" s="294" t="s">
        <v>1220</v>
      </c>
      <c r="Z25" s="177"/>
      <c r="AA25" s="177"/>
      <c r="AB25" s="7" t="s">
        <v>1258</v>
      </c>
      <c r="AD25" s="294" t="s">
        <v>1224</v>
      </c>
      <c r="AE25" s="177"/>
      <c r="AF25" s="7" t="s">
        <v>1261</v>
      </c>
      <c r="AH25" s="294" t="s">
        <v>1262</v>
      </c>
      <c r="AI25" s="177"/>
      <c r="AJ25" s="7" t="s">
        <v>1263</v>
      </c>
      <c r="AK25" s="48"/>
      <c r="AL25" s="38"/>
      <c r="AM25" s="38"/>
      <c r="AN25" s="38"/>
      <c r="AO25" s="38"/>
      <c r="AP25" s="38"/>
      <c r="AQ25" s="38"/>
      <c r="AR25" s="38"/>
      <c r="AS25" s="38"/>
      <c r="AT25" s="38"/>
      <c r="AU25" s="48"/>
    </row>
    <row r="26" ht="15.75" customHeight="1">
      <c r="A26" s="216" t="s">
        <v>1276</v>
      </c>
      <c r="B26" s="38">
        <v>3.0</v>
      </c>
      <c r="C26" s="48"/>
      <c r="D26" s="38"/>
      <c r="E26" s="48"/>
      <c r="F26" s="14"/>
      <c r="G26" s="14"/>
      <c r="H26" s="14"/>
      <c r="I26" s="14"/>
      <c r="J26" s="14"/>
      <c r="K26" s="14"/>
      <c r="L26" s="14"/>
      <c r="M26" s="14"/>
      <c r="N26" s="14"/>
      <c r="O26" s="14"/>
      <c r="P26" s="14"/>
      <c r="R26" s="203"/>
      <c r="S26" s="203"/>
      <c r="T26" s="203"/>
      <c r="U26" s="203"/>
      <c r="V26" s="38"/>
      <c r="W26" s="38"/>
      <c r="X26" s="38"/>
      <c r="Y26" s="38"/>
      <c r="Z26" s="38"/>
      <c r="AA26" s="38"/>
      <c r="AB26" s="38"/>
      <c r="AC26" s="38"/>
      <c r="AD26" s="38"/>
      <c r="AE26" s="38"/>
      <c r="AF26" s="38"/>
      <c r="AG26" s="38"/>
      <c r="AH26" s="38"/>
      <c r="AI26" s="38"/>
      <c r="AJ26" s="38"/>
      <c r="AK26" s="48"/>
      <c r="AL26" s="38"/>
      <c r="AM26" s="38"/>
      <c r="AN26" s="38"/>
      <c r="AO26" s="38"/>
      <c r="AP26" s="38"/>
      <c r="AQ26" s="38"/>
      <c r="AR26" s="38"/>
      <c r="AS26" s="38"/>
      <c r="AT26" s="38"/>
      <c r="AU26" s="48"/>
    </row>
    <row r="27" ht="15.75" customHeight="1">
      <c r="B27" s="38">
        <v>4.0</v>
      </c>
      <c r="C27" s="48"/>
      <c r="D27" s="38"/>
      <c r="E27" s="48"/>
      <c r="R27" s="203"/>
      <c r="S27" s="203"/>
      <c r="T27" s="203"/>
      <c r="U27" s="203"/>
      <c r="AK27" s="48"/>
      <c r="AL27" s="38"/>
      <c r="AM27" s="38"/>
      <c r="AN27" s="38"/>
      <c r="AO27" s="38"/>
      <c r="AP27" s="38"/>
      <c r="AQ27" s="38"/>
      <c r="AR27" s="38"/>
      <c r="AS27" s="38"/>
      <c r="AT27" s="38"/>
      <c r="AU27" s="48"/>
    </row>
    <row r="28" ht="15.75" customHeight="1">
      <c r="B28" s="38">
        <v>5.0</v>
      </c>
      <c r="C28" s="48"/>
      <c r="D28" s="38"/>
      <c r="E28" s="48"/>
      <c r="R28" s="203"/>
      <c r="S28" s="203"/>
      <c r="T28" s="203"/>
      <c r="U28" s="203"/>
      <c r="AK28" s="48"/>
      <c r="AL28" s="38"/>
      <c r="AM28" s="38"/>
      <c r="AN28" s="38"/>
      <c r="AO28" s="38"/>
      <c r="AP28" s="38"/>
      <c r="AQ28" s="38"/>
      <c r="AR28" s="38"/>
      <c r="AS28" s="38"/>
      <c r="AT28" s="38"/>
      <c r="AU28" s="48"/>
    </row>
    <row r="29" ht="15.75" customHeight="1">
      <c r="A29" s="33"/>
      <c r="B29" s="38"/>
      <c r="C29" s="48"/>
      <c r="D29" s="38"/>
      <c r="E29" s="48"/>
      <c r="R29" s="203"/>
      <c r="S29" s="203"/>
      <c r="T29" s="203"/>
      <c r="U29" s="203"/>
      <c r="AK29" s="48"/>
      <c r="AL29" s="38"/>
      <c r="AM29" s="38"/>
      <c r="AN29" s="38"/>
      <c r="AO29" s="38"/>
      <c r="AP29" s="38"/>
      <c r="AQ29" s="38"/>
      <c r="AR29" s="38"/>
      <c r="AS29" s="38"/>
      <c r="AT29" s="38"/>
      <c r="AU29" s="48"/>
    </row>
    <row r="30" ht="15.75" customHeight="1">
      <c r="A30" s="170" t="s">
        <v>1335</v>
      </c>
      <c r="B30" s="38">
        <v>1.0</v>
      </c>
      <c r="C30" s="48"/>
      <c r="D30" s="173" t="s">
        <v>305</v>
      </c>
      <c r="E30" s="173"/>
      <c r="R30" s="203"/>
      <c r="S30" s="203"/>
      <c r="T30" s="203"/>
      <c r="U30" s="203"/>
      <c r="V30" s="14"/>
      <c r="W30" s="14"/>
      <c r="X30" s="14"/>
      <c r="Y30" s="14"/>
      <c r="Z30" s="14"/>
      <c r="AA30" s="14"/>
      <c r="AB30" s="14"/>
      <c r="AC30" s="14"/>
      <c r="AD30" s="14"/>
      <c r="AE30" s="14"/>
      <c r="AF30" s="14"/>
      <c r="AG30" s="14"/>
      <c r="AH30" s="14"/>
      <c r="AI30" s="14"/>
      <c r="AJ30" s="14"/>
      <c r="AK30" s="48"/>
      <c r="AL30" s="230" t="s">
        <v>474</v>
      </c>
      <c r="AM30" s="232"/>
      <c r="AN30" s="232"/>
      <c r="AO30" s="232"/>
      <c r="AP30" s="38"/>
      <c r="AQ30" s="38"/>
      <c r="AR30" s="38"/>
      <c r="AS30" s="38"/>
      <c r="AT30" s="38"/>
      <c r="AU30" s="48"/>
    </row>
    <row r="31" ht="15.75" customHeight="1">
      <c r="A31" s="216" t="s">
        <v>1349</v>
      </c>
      <c r="B31" s="38">
        <v>2.0</v>
      </c>
      <c r="C31" s="48"/>
      <c r="D31" s="38"/>
      <c r="E31" s="48"/>
      <c r="R31" s="203"/>
      <c r="S31" s="203"/>
      <c r="T31" s="203"/>
      <c r="U31" s="203"/>
      <c r="V31" s="14"/>
      <c r="W31" s="14"/>
      <c r="X31" s="14"/>
      <c r="Y31" s="14"/>
      <c r="Z31" s="14"/>
      <c r="AA31" s="14"/>
      <c r="AB31" s="14"/>
      <c r="AC31" s="14"/>
      <c r="AD31" s="14"/>
      <c r="AE31" s="14"/>
      <c r="AF31" s="14"/>
      <c r="AG31" s="14"/>
      <c r="AH31" s="14"/>
      <c r="AI31" s="14"/>
      <c r="AJ31" s="14"/>
      <c r="AK31" s="48"/>
      <c r="AL31" s="38"/>
      <c r="AM31" s="38"/>
      <c r="AN31" s="38"/>
      <c r="AO31" s="38"/>
      <c r="AP31" s="38"/>
      <c r="AQ31" s="38"/>
      <c r="AR31" s="38"/>
      <c r="AS31" s="38"/>
      <c r="AT31" s="38"/>
      <c r="AU31" s="48"/>
    </row>
    <row r="32" ht="15.75" customHeight="1">
      <c r="A32" s="216"/>
      <c r="B32" s="38">
        <v>3.0</v>
      </c>
      <c r="C32" s="48"/>
      <c r="D32" s="38"/>
      <c r="E32" s="48"/>
      <c r="I32" s="38"/>
      <c r="J32" s="38"/>
      <c r="R32" s="203"/>
      <c r="S32" s="203"/>
      <c r="T32" s="203"/>
      <c r="U32" s="203"/>
      <c r="V32" s="38"/>
      <c r="W32" s="38"/>
      <c r="X32" s="38"/>
      <c r="Y32" s="38"/>
      <c r="Z32" s="38"/>
      <c r="AA32" s="38"/>
      <c r="AB32" s="38"/>
      <c r="AC32" s="38"/>
      <c r="AD32" s="38"/>
      <c r="AE32" s="38"/>
      <c r="AF32" s="38"/>
      <c r="AG32" s="38"/>
      <c r="AH32" s="38"/>
      <c r="AI32" s="38"/>
      <c r="AJ32" s="38"/>
      <c r="AK32" s="48"/>
      <c r="AL32" s="38"/>
      <c r="AM32" s="38"/>
      <c r="AN32" s="38"/>
      <c r="AO32" s="38"/>
      <c r="AP32" s="38"/>
      <c r="AQ32" s="38"/>
      <c r="AR32" s="38"/>
      <c r="AS32" s="38"/>
      <c r="AT32" s="38"/>
      <c r="AU32" s="48"/>
    </row>
    <row r="33" ht="15.75" customHeight="1">
      <c r="A33" s="33"/>
      <c r="B33" s="38">
        <v>4.0</v>
      </c>
      <c r="C33" s="48"/>
      <c r="D33" s="38"/>
      <c r="E33" s="48"/>
      <c r="R33" s="203"/>
      <c r="S33" s="203"/>
      <c r="T33" s="203"/>
      <c r="U33" s="203"/>
      <c r="AK33" s="267"/>
      <c r="AL33" s="200"/>
      <c r="AM33" s="38"/>
      <c r="AN33" s="38"/>
      <c r="AO33" s="38"/>
      <c r="AP33" s="38"/>
      <c r="AQ33" s="38"/>
      <c r="AR33" s="38"/>
      <c r="AS33" s="38"/>
      <c r="AT33" s="38"/>
      <c r="AU33" s="48"/>
    </row>
    <row r="34" ht="15.75" customHeight="1">
      <c r="A34" s="33"/>
      <c r="B34" s="38">
        <v>5.0</v>
      </c>
      <c r="C34" s="48"/>
      <c r="D34" s="38"/>
      <c r="E34" s="48"/>
      <c r="R34" s="203"/>
      <c r="S34" s="203"/>
      <c r="T34" s="203"/>
      <c r="U34" s="203"/>
      <c r="AK34" s="48"/>
      <c r="AL34" s="38"/>
      <c r="AM34" s="38"/>
      <c r="AN34" s="38"/>
      <c r="AO34" s="38"/>
      <c r="AP34" s="38"/>
      <c r="AQ34" s="38"/>
      <c r="AR34" s="38"/>
      <c r="AS34" s="38"/>
      <c r="AT34" s="38"/>
      <c r="AU34" s="48"/>
    </row>
    <row r="35" ht="15.75" customHeight="1">
      <c r="A35" s="170" t="s">
        <v>1406</v>
      </c>
      <c r="B35" s="38">
        <v>1.0</v>
      </c>
      <c r="C35" s="48"/>
      <c r="D35" s="173" t="s">
        <v>305</v>
      </c>
      <c r="E35" s="173"/>
      <c r="F35" s="299" t="s">
        <v>1410</v>
      </c>
      <c r="G35" s="180"/>
      <c r="H35" s="180"/>
      <c r="I35" s="180"/>
      <c r="M35" s="299" t="s">
        <v>1224</v>
      </c>
      <c r="N35" s="180"/>
      <c r="O35" s="180"/>
      <c r="P35" s="300"/>
      <c r="Q35" s="300"/>
      <c r="R35" s="203"/>
      <c r="S35" s="203"/>
      <c r="T35" s="203"/>
      <c r="U35" s="203"/>
      <c r="V35" s="299" t="s">
        <v>1417</v>
      </c>
      <c r="W35" s="180"/>
      <c r="X35" s="180"/>
      <c r="Y35" s="180"/>
      <c r="AC35" s="299" t="s">
        <v>1419</v>
      </c>
      <c r="AD35" s="180"/>
      <c r="AE35" s="180"/>
      <c r="AF35" s="180"/>
      <c r="AJ35" s="250"/>
      <c r="AK35" s="48"/>
      <c r="AL35" s="230" t="s">
        <v>474</v>
      </c>
      <c r="AM35" s="232"/>
      <c r="AN35" s="232"/>
      <c r="AO35" s="232"/>
      <c r="AP35" s="38"/>
      <c r="AQ35" s="38"/>
      <c r="AR35" s="38"/>
      <c r="AS35" s="38"/>
      <c r="AT35" s="38"/>
      <c r="AU35" s="48"/>
    </row>
    <row r="36" ht="15.75" customHeight="1">
      <c r="A36" s="216"/>
      <c r="B36" s="38">
        <v>2.0</v>
      </c>
      <c r="C36" s="48"/>
      <c r="D36" s="38"/>
      <c r="E36" s="48"/>
      <c r="F36" s="7" t="s">
        <v>1257</v>
      </c>
      <c r="J36" s="294" t="s">
        <v>1410</v>
      </c>
      <c r="K36" s="177"/>
      <c r="L36" s="177"/>
      <c r="M36" s="7" t="s">
        <v>1258</v>
      </c>
      <c r="P36" s="294" t="s">
        <v>1224</v>
      </c>
      <c r="Q36" s="177"/>
      <c r="R36" s="203"/>
      <c r="S36" s="203"/>
      <c r="T36" s="203"/>
      <c r="U36" s="203"/>
      <c r="V36" s="7" t="s">
        <v>1440</v>
      </c>
      <c r="Z36" s="294" t="s">
        <v>1417</v>
      </c>
      <c r="AA36" s="177"/>
      <c r="AB36" s="177"/>
      <c r="AC36" s="7" t="s">
        <v>1443</v>
      </c>
      <c r="AG36" s="294" t="s">
        <v>1419</v>
      </c>
      <c r="AH36" s="177"/>
      <c r="AI36" s="177"/>
      <c r="AJ36" s="112"/>
      <c r="AK36" s="309"/>
      <c r="AL36" s="38"/>
      <c r="AM36" s="38"/>
      <c r="AN36" s="38"/>
      <c r="AO36" s="38"/>
      <c r="AP36" s="38"/>
      <c r="AQ36" s="38"/>
      <c r="AR36" s="38"/>
      <c r="AS36" s="38"/>
      <c r="AT36" s="38"/>
      <c r="AU36" s="48"/>
    </row>
    <row r="37" ht="15.75" customHeight="1">
      <c r="A37" s="216"/>
      <c r="B37" s="38">
        <v>3.0</v>
      </c>
      <c r="C37" s="48"/>
      <c r="D37" s="38"/>
      <c r="E37" s="48"/>
      <c r="I37" s="38"/>
      <c r="J37" s="38"/>
      <c r="R37" s="203"/>
      <c r="S37" s="203"/>
      <c r="T37" s="203"/>
      <c r="U37" s="203"/>
      <c r="Y37" s="38"/>
      <c r="Z37" s="38"/>
      <c r="AF37" s="38"/>
      <c r="AG37" s="38"/>
      <c r="AJ37" s="38"/>
      <c r="AK37" s="48"/>
      <c r="AL37" s="38"/>
      <c r="AM37" s="38"/>
      <c r="AN37" s="38"/>
      <c r="AO37" s="38"/>
      <c r="AP37" s="38"/>
      <c r="AQ37" s="38"/>
      <c r="AR37" s="38"/>
      <c r="AS37" s="38"/>
      <c r="AT37" s="38"/>
      <c r="AU37" s="48"/>
    </row>
    <row r="38" ht="15.75" customHeight="1">
      <c r="A38" s="33"/>
      <c r="B38" s="38">
        <v>4.0</v>
      </c>
      <c r="C38" s="48"/>
      <c r="D38" s="38"/>
      <c r="E38" s="48"/>
      <c r="R38" s="203"/>
      <c r="S38" s="203"/>
      <c r="T38" s="203"/>
      <c r="U38" s="203"/>
      <c r="AK38" s="48"/>
      <c r="AL38" s="200"/>
      <c r="AM38" s="38"/>
      <c r="AN38" s="38"/>
      <c r="AO38" s="38"/>
      <c r="AP38" s="38"/>
      <c r="AQ38" s="38"/>
      <c r="AR38" s="38"/>
      <c r="AS38" s="38"/>
      <c r="AT38" s="38"/>
      <c r="AU38" s="48"/>
    </row>
    <row r="39" ht="15.75" customHeight="1">
      <c r="A39" s="33"/>
      <c r="B39" s="38">
        <v>5.0</v>
      </c>
      <c r="C39" s="48"/>
      <c r="D39" s="38"/>
      <c r="E39" s="48"/>
      <c r="G39" s="38"/>
      <c r="H39" s="38"/>
      <c r="I39" s="38"/>
      <c r="J39" s="38"/>
      <c r="K39" s="38"/>
      <c r="L39" s="38"/>
      <c r="M39" s="38"/>
      <c r="N39" s="38"/>
      <c r="O39" s="38"/>
      <c r="P39" s="38"/>
      <c r="Q39" s="38"/>
      <c r="R39" s="203"/>
      <c r="S39" s="203"/>
      <c r="T39" s="203"/>
      <c r="U39" s="203"/>
      <c r="AK39" s="48"/>
      <c r="AL39" s="38"/>
      <c r="AM39" s="38"/>
      <c r="AN39" s="38"/>
      <c r="AO39" s="38"/>
      <c r="AP39" s="38"/>
      <c r="AQ39" s="38"/>
      <c r="AR39" s="38"/>
      <c r="AS39" s="38"/>
      <c r="AT39" s="38"/>
      <c r="AU39" s="48"/>
    </row>
    <row r="40" ht="15.75" customHeight="1">
      <c r="A40" s="316"/>
      <c r="B40" s="317"/>
      <c r="C40" s="317"/>
      <c r="D40" s="38"/>
      <c r="E40" s="48"/>
      <c r="F40" s="38"/>
      <c r="G40" s="38"/>
      <c r="H40" s="38"/>
      <c r="I40" s="38"/>
      <c r="J40" s="38"/>
      <c r="K40" s="38"/>
      <c r="L40" s="38"/>
      <c r="M40" s="38"/>
      <c r="N40" s="38"/>
      <c r="O40" s="38"/>
      <c r="P40" s="38"/>
      <c r="Q40" s="38"/>
      <c r="R40" s="203"/>
      <c r="S40" s="203"/>
      <c r="T40" s="203"/>
      <c r="U40" s="203"/>
      <c r="V40" s="38"/>
      <c r="W40" s="38"/>
      <c r="X40" s="38"/>
      <c r="Y40" s="38"/>
      <c r="Z40" s="38"/>
      <c r="AA40" s="38"/>
      <c r="AB40" s="38"/>
      <c r="AC40" s="38"/>
      <c r="AD40" s="38"/>
      <c r="AE40" s="38"/>
      <c r="AF40" s="38"/>
      <c r="AG40" s="38"/>
      <c r="AH40" s="38"/>
      <c r="AI40" s="38"/>
      <c r="AJ40" s="38"/>
      <c r="AK40" s="48"/>
      <c r="AL40" s="38"/>
      <c r="AM40" s="38"/>
      <c r="AN40" s="38"/>
      <c r="AO40" s="38"/>
      <c r="AP40" s="38"/>
      <c r="AQ40" s="38"/>
      <c r="AR40" s="38"/>
      <c r="AS40" s="38"/>
      <c r="AT40" s="38"/>
      <c r="AU40" s="48"/>
    </row>
    <row r="41" ht="15.75" customHeight="1">
      <c r="A41" s="316"/>
      <c r="B41" s="317"/>
      <c r="C41" s="317"/>
      <c r="D41" s="38"/>
      <c r="E41" s="48"/>
      <c r="F41" s="38"/>
      <c r="G41" s="38"/>
      <c r="H41" s="38"/>
      <c r="I41" s="38"/>
      <c r="J41" s="38"/>
      <c r="K41" s="38"/>
      <c r="L41" s="38"/>
      <c r="M41" s="38"/>
      <c r="N41" s="38"/>
      <c r="O41" s="38"/>
      <c r="P41" s="38"/>
      <c r="Q41" s="38"/>
      <c r="R41" s="203"/>
      <c r="S41" s="203"/>
      <c r="T41" s="203"/>
      <c r="U41" s="203"/>
      <c r="V41" s="38"/>
      <c r="W41" s="38"/>
      <c r="X41" s="38"/>
      <c r="Y41" s="38"/>
      <c r="Z41" s="38"/>
      <c r="AA41" s="38"/>
      <c r="AB41" s="38"/>
      <c r="AC41" s="38"/>
      <c r="AD41" s="38"/>
      <c r="AE41" s="38"/>
      <c r="AF41" s="38"/>
      <c r="AG41" s="38"/>
      <c r="AH41" s="38"/>
      <c r="AI41" s="38"/>
      <c r="AJ41" s="38"/>
      <c r="AK41" s="48"/>
      <c r="AL41" s="38"/>
      <c r="AM41" s="38"/>
      <c r="AN41" s="38"/>
      <c r="AO41" s="38"/>
      <c r="AP41" s="38"/>
      <c r="AQ41" s="38"/>
      <c r="AR41" s="38"/>
      <c r="AS41" s="38"/>
      <c r="AT41" s="38"/>
      <c r="AU41" s="48"/>
    </row>
    <row r="42" ht="15.75" customHeight="1">
      <c r="A42" s="326" t="s">
        <v>1541</v>
      </c>
      <c r="B42" s="317">
        <v>1.0</v>
      </c>
      <c r="C42" s="317"/>
      <c r="D42" s="173" t="s">
        <v>305</v>
      </c>
      <c r="E42" s="60"/>
      <c r="F42" s="299" t="s">
        <v>1544</v>
      </c>
      <c r="G42" s="180"/>
      <c r="H42" s="180"/>
      <c r="I42" s="180"/>
      <c r="M42" s="299" t="s">
        <v>1547</v>
      </c>
      <c r="N42" s="180"/>
      <c r="O42" s="180"/>
      <c r="P42" s="180"/>
      <c r="R42" s="203"/>
      <c r="S42" s="203"/>
      <c r="T42" s="203"/>
      <c r="U42" s="203"/>
      <c r="V42" s="299" t="s">
        <v>1549</v>
      </c>
      <c r="W42" s="180"/>
      <c r="X42" s="180"/>
      <c r="Y42" s="180"/>
      <c r="AC42" s="299" t="s">
        <v>1551</v>
      </c>
      <c r="AD42" s="180"/>
      <c r="AG42" s="299" t="s">
        <v>1552</v>
      </c>
      <c r="AH42" s="180"/>
      <c r="AJ42" s="299" t="s">
        <v>1553</v>
      </c>
      <c r="AK42" s="180"/>
      <c r="AL42" s="230" t="s">
        <v>474</v>
      </c>
      <c r="AM42" s="232"/>
      <c r="AN42" s="232"/>
      <c r="AO42" s="232"/>
      <c r="AP42" s="38"/>
      <c r="AQ42" s="38"/>
      <c r="AR42" s="38"/>
      <c r="AS42" s="38"/>
      <c r="AT42" s="38"/>
      <c r="AU42" s="48"/>
    </row>
    <row r="43" ht="15.75" customHeight="1">
      <c r="A43" s="216" t="s">
        <v>1558</v>
      </c>
      <c r="B43" s="317">
        <v>2.0</v>
      </c>
      <c r="C43" s="317"/>
      <c r="D43" s="38"/>
      <c r="E43" s="48"/>
      <c r="F43" s="7" t="s">
        <v>1561</v>
      </c>
      <c r="J43" s="294" t="s">
        <v>1544</v>
      </c>
      <c r="K43" s="177"/>
      <c r="L43" s="177"/>
      <c r="M43" s="7" t="s">
        <v>1564</v>
      </c>
      <c r="Q43" s="294" t="s">
        <v>1547</v>
      </c>
      <c r="R43" s="203"/>
      <c r="S43" s="203"/>
      <c r="T43" s="203"/>
      <c r="U43" s="203"/>
      <c r="V43" s="7" t="s">
        <v>1565</v>
      </c>
      <c r="Z43" s="294" t="s">
        <v>1549</v>
      </c>
      <c r="AA43" s="177"/>
      <c r="AB43" s="177"/>
      <c r="AC43" s="7" t="s">
        <v>1566</v>
      </c>
      <c r="AE43" s="294" t="s">
        <v>1551</v>
      </c>
      <c r="AF43" s="177"/>
      <c r="AI43" s="297" t="s">
        <v>1552</v>
      </c>
      <c r="AJ43" s="7" t="s">
        <v>1567</v>
      </c>
      <c r="AL43" s="38"/>
      <c r="AM43" s="38"/>
      <c r="AN43" s="38"/>
      <c r="AO43" s="38"/>
      <c r="AP43" s="38"/>
      <c r="AQ43" s="38"/>
      <c r="AR43" s="38"/>
      <c r="AS43" s="38"/>
      <c r="AT43" s="38"/>
      <c r="AU43" s="48"/>
    </row>
    <row r="44" ht="15.75" customHeight="1">
      <c r="A44" s="216" t="s">
        <v>1570</v>
      </c>
      <c r="B44" s="317">
        <v>3.0</v>
      </c>
      <c r="C44" s="317"/>
      <c r="D44" s="38"/>
      <c r="E44" s="48"/>
      <c r="G44" s="38"/>
      <c r="H44" s="38"/>
      <c r="J44" s="14"/>
      <c r="L44" s="38"/>
      <c r="M44" s="38"/>
      <c r="Q44" s="14"/>
      <c r="R44" s="203"/>
      <c r="S44" s="203"/>
      <c r="T44" s="203"/>
      <c r="U44" s="203"/>
      <c r="AC44" s="14"/>
      <c r="AK44" s="48"/>
      <c r="AL44" s="38"/>
      <c r="AM44" s="38"/>
      <c r="AN44" s="38"/>
      <c r="AO44" s="38"/>
      <c r="AP44" s="38"/>
      <c r="AQ44" s="38"/>
      <c r="AR44" s="38"/>
      <c r="AS44" s="38"/>
      <c r="AT44" s="38"/>
      <c r="AU44" s="48"/>
    </row>
    <row r="45" ht="15.75" customHeight="1">
      <c r="A45" s="216" t="s">
        <v>1588</v>
      </c>
      <c r="B45" s="317">
        <v>4.0</v>
      </c>
      <c r="C45" s="317"/>
      <c r="D45" s="38"/>
      <c r="E45" s="48"/>
      <c r="F45" s="38"/>
      <c r="G45" s="38"/>
      <c r="H45" s="38"/>
      <c r="I45" s="38"/>
      <c r="J45" s="38"/>
      <c r="K45" s="38"/>
      <c r="L45" s="38"/>
      <c r="M45" s="38"/>
      <c r="N45" s="38"/>
      <c r="O45" s="38"/>
      <c r="P45" s="38"/>
      <c r="Q45" s="38"/>
      <c r="R45" s="203"/>
      <c r="S45" s="203"/>
      <c r="T45" s="203"/>
      <c r="U45" s="203"/>
      <c r="AK45" s="48"/>
      <c r="AL45" s="38"/>
      <c r="AM45" s="38"/>
      <c r="AN45" s="38"/>
      <c r="AO45" s="38"/>
      <c r="AP45" s="38"/>
      <c r="AQ45" s="38"/>
      <c r="AR45" s="38"/>
      <c r="AS45" s="38"/>
      <c r="AT45" s="38"/>
      <c r="AU45" s="48"/>
    </row>
    <row r="46" ht="15.75" customHeight="1">
      <c r="A46" s="33"/>
      <c r="B46" s="317">
        <v>5.0</v>
      </c>
      <c r="C46" s="317"/>
      <c r="D46" s="38"/>
      <c r="E46" s="48"/>
      <c r="F46" s="38"/>
      <c r="G46" s="38"/>
      <c r="H46" s="38"/>
      <c r="I46" s="38"/>
      <c r="J46" s="38"/>
      <c r="K46" s="38"/>
      <c r="L46" s="38"/>
      <c r="M46" s="38"/>
      <c r="N46" s="38"/>
      <c r="O46" s="38"/>
      <c r="P46" s="38"/>
      <c r="Q46" s="38"/>
      <c r="R46" s="203"/>
      <c r="S46" s="203"/>
      <c r="T46" s="203"/>
      <c r="U46" s="203"/>
      <c r="V46" s="38"/>
      <c r="W46" s="38"/>
      <c r="X46" s="38"/>
      <c r="Y46" s="38"/>
      <c r="Z46" s="38"/>
      <c r="AA46" s="38"/>
      <c r="AB46" s="38"/>
      <c r="AC46" s="38"/>
      <c r="AD46" s="38"/>
      <c r="AE46" s="38"/>
      <c r="AF46" s="38"/>
      <c r="AG46" s="38"/>
      <c r="AH46" s="38"/>
      <c r="AI46" s="38"/>
      <c r="AJ46" s="38"/>
      <c r="AK46" s="48"/>
      <c r="AL46" s="38"/>
      <c r="AM46" s="38"/>
      <c r="AN46" s="38"/>
      <c r="AO46" s="38"/>
      <c r="AP46" s="38"/>
      <c r="AQ46" s="38"/>
      <c r="AR46" s="38"/>
      <c r="AS46" s="38"/>
      <c r="AT46" s="38"/>
      <c r="AU46" s="48"/>
    </row>
    <row r="47" ht="15.75" customHeight="1">
      <c r="A47" s="316"/>
      <c r="B47" s="317"/>
      <c r="C47" s="317"/>
      <c r="D47" s="38"/>
      <c r="E47" s="48"/>
      <c r="F47" s="38"/>
      <c r="G47" s="38"/>
      <c r="H47" s="38"/>
      <c r="I47" s="38"/>
      <c r="J47" s="38"/>
      <c r="K47" s="38"/>
      <c r="L47" s="38"/>
      <c r="M47" s="38"/>
      <c r="N47" s="38"/>
      <c r="O47" s="38"/>
      <c r="P47" s="38"/>
      <c r="Q47" s="38"/>
      <c r="R47" s="203"/>
      <c r="S47" s="203"/>
      <c r="T47" s="203"/>
      <c r="U47" s="203"/>
      <c r="V47" s="38"/>
      <c r="W47" s="38"/>
      <c r="X47" s="38"/>
      <c r="Y47" s="38"/>
      <c r="Z47" s="38"/>
      <c r="AA47" s="38"/>
      <c r="AB47" s="38"/>
      <c r="AC47" s="38"/>
      <c r="AD47" s="38"/>
      <c r="AE47" s="38"/>
      <c r="AF47" s="38"/>
      <c r="AG47" s="38"/>
      <c r="AH47" s="38"/>
      <c r="AI47" s="38"/>
      <c r="AJ47" s="38"/>
      <c r="AK47" s="48"/>
      <c r="AL47" s="38"/>
      <c r="AM47" s="38"/>
      <c r="AN47" s="38"/>
      <c r="AO47" s="38"/>
      <c r="AP47" s="38"/>
      <c r="AQ47" s="38"/>
      <c r="AR47" s="38"/>
      <c r="AS47" s="38"/>
      <c r="AT47" s="38"/>
      <c r="AU47" s="48"/>
    </row>
    <row r="48" ht="15.75" customHeight="1">
      <c r="A48" s="326" t="s">
        <v>1645</v>
      </c>
      <c r="B48" s="38">
        <v>1.0</v>
      </c>
      <c r="C48" s="48"/>
      <c r="D48" s="173" t="s">
        <v>305</v>
      </c>
      <c r="E48" s="60"/>
      <c r="F48" s="299" t="s">
        <v>1646</v>
      </c>
      <c r="G48" s="180"/>
      <c r="H48" s="180"/>
      <c r="I48" s="180"/>
      <c r="J48" s="38"/>
      <c r="K48" s="235"/>
      <c r="L48" s="38"/>
      <c r="M48" s="299" t="s">
        <v>1647</v>
      </c>
      <c r="N48" s="180"/>
      <c r="O48" s="180"/>
      <c r="P48" s="38"/>
      <c r="Q48" s="38"/>
      <c r="R48" s="203"/>
      <c r="S48" s="203"/>
      <c r="T48" s="203"/>
      <c r="U48" s="203"/>
      <c r="V48" s="299" t="s">
        <v>1648</v>
      </c>
      <c r="W48" s="180"/>
      <c r="X48" s="180"/>
      <c r="Y48" s="180"/>
      <c r="Z48" s="38"/>
      <c r="AA48" s="235"/>
      <c r="AB48" s="38"/>
      <c r="AC48" s="299" t="s">
        <v>1649</v>
      </c>
      <c r="AD48" s="180"/>
      <c r="AE48" s="180"/>
      <c r="AF48" s="38"/>
      <c r="AG48" s="38"/>
      <c r="AH48" s="299" t="s">
        <v>1650</v>
      </c>
      <c r="AI48" s="180"/>
      <c r="AJ48" s="180"/>
      <c r="AK48" s="349"/>
      <c r="AL48" s="230" t="s">
        <v>474</v>
      </c>
      <c r="AM48" s="232"/>
      <c r="AN48" s="232"/>
      <c r="AO48" s="232"/>
      <c r="AP48" s="38"/>
      <c r="AQ48" s="38"/>
      <c r="AR48" s="38"/>
      <c r="AS48" s="38"/>
      <c r="AT48" s="38"/>
      <c r="AU48" s="48"/>
    </row>
    <row r="49" ht="15.75" customHeight="1">
      <c r="A49" s="350" t="s">
        <v>1651</v>
      </c>
      <c r="B49" s="38">
        <v>2.0</v>
      </c>
      <c r="C49" s="48"/>
      <c r="D49" s="38"/>
      <c r="E49" s="48"/>
      <c r="F49" s="7" t="s">
        <v>1652</v>
      </c>
      <c r="G49" s="38"/>
      <c r="I49" s="351"/>
      <c r="J49" s="352" t="s">
        <v>1646</v>
      </c>
      <c r="K49" s="177"/>
      <c r="L49" s="112"/>
      <c r="N49" s="38"/>
      <c r="P49" s="352" t="s">
        <v>1647</v>
      </c>
      <c r="Q49" s="177"/>
      <c r="R49" s="203"/>
      <c r="S49" s="203"/>
      <c r="T49" s="203"/>
      <c r="U49" s="203"/>
      <c r="W49" s="38"/>
      <c r="Y49" s="351"/>
      <c r="Z49" s="352" t="s">
        <v>1648</v>
      </c>
      <c r="AA49" s="177"/>
      <c r="AB49" s="112"/>
      <c r="AD49" s="38"/>
      <c r="AF49" s="352" t="s">
        <v>1649</v>
      </c>
      <c r="AG49" s="177"/>
      <c r="AH49" s="7" t="s">
        <v>1653</v>
      </c>
      <c r="AJ49" s="351"/>
      <c r="AK49" s="300"/>
      <c r="AL49" s="38"/>
      <c r="AM49" s="38"/>
      <c r="AN49" s="38"/>
      <c r="AO49" s="38"/>
      <c r="AP49" s="38"/>
      <c r="AQ49" s="38"/>
      <c r="AR49" s="38"/>
      <c r="AS49" s="38"/>
      <c r="AT49" s="38"/>
      <c r="AU49" s="48"/>
    </row>
    <row r="50" ht="15.75" customHeight="1">
      <c r="A50" s="216"/>
      <c r="B50" s="38">
        <v>3.0</v>
      </c>
      <c r="C50" s="48"/>
      <c r="D50" s="38"/>
      <c r="E50" s="48"/>
      <c r="G50" s="38"/>
      <c r="H50" s="38"/>
      <c r="J50" s="14"/>
      <c r="L50" s="38"/>
      <c r="M50" s="38"/>
      <c r="Q50" s="14"/>
      <c r="R50" s="203"/>
      <c r="S50" s="203"/>
      <c r="T50" s="203"/>
      <c r="U50" s="203"/>
      <c r="AC50" s="14"/>
      <c r="AK50" s="48"/>
      <c r="AL50" s="38"/>
      <c r="AM50" s="38"/>
      <c r="AN50" s="38"/>
      <c r="AO50" s="38"/>
      <c r="AP50" s="38"/>
      <c r="AQ50" s="38"/>
      <c r="AR50" s="38"/>
      <c r="AS50" s="38"/>
      <c r="AT50" s="38"/>
      <c r="AU50" s="48"/>
    </row>
    <row r="51" ht="15.75" customHeight="1">
      <c r="A51" s="33"/>
      <c r="B51" s="38">
        <v>4.0</v>
      </c>
      <c r="C51" s="48"/>
      <c r="D51" s="38"/>
      <c r="E51" s="48"/>
      <c r="N51" s="38"/>
      <c r="O51" s="38"/>
      <c r="P51" s="38"/>
      <c r="Q51" s="38"/>
      <c r="R51" s="203"/>
      <c r="S51" s="203"/>
      <c r="T51" s="203"/>
      <c r="U51" s="203"/>
      <c r="V51" s="38"/>
      <c r="W51" s="38"/>
      <c r="X51" s="38"/>
      <c r="Y51" s="38"/>
      <c r="Z51" s="38"/>
      <c r="AA51" s="38"/>
      <c r="AB51" s="38"/>
      <c r="AC51" s="38"/>
      <c r="AD51" s="38"/>
      <c r="AE51" s="38"/>
      <c r="AF51" s="38"/>
      <c r="AG51" s="38"/>
      <c r="AH51" s="38"/>
      <c r="AI51" s="38"/>
      <c r="AJ51" s="38"/>
      <c r="AK51" s="48"/>
      <c r="AL51" s="38"/>
      <c r="AM51" s="38"/>
      <c r="AN51" s="38"/>
      <c r="AO51" s="38"/>
      <c r="AP51" s="38"/>
      <c r="AQ51" s="38"/>
      <c r="AR51" s="38"/>
      <c r="AS51" s="38"/>
      <c r="AT51" s="38"/>
      <c r="AU51" s="48"/>
    </row>
    <row r="52" ht="15.75" customHeight="1">
      <c r="A52" s="33"/>
      <c r="B52" s="38">
        <v>5.0</v>
      </c>
      <c r="C52" s="48"/>
      <c r="D52" s="38"/>
      <c r="E52" s="48"/>
      <c r="N52" s="38"/>
      <c r="O52" s="38"/>
      <c r="P52" s="38"/>
      <c r="Q52" s="38"/>
      <c r="R52" s="203"/>
      <c r="S52" s="203"/>
      <c r="T52" s="203"/>
      <c r="U52" s="203"/>
      <c r="V52" s="38"/>
      <c r="W52" s="38"/>
      <c r="X52" s="38"/>
      <c r="Y52" s="38"/>
      <c r="Z52" s="38"/>
      <c r="AA52" s="38"/>
      <c r="AB52" s="38"/>
      <c r="AC52" s="38"/>
      <c r="AD52" s="38"/>
      <c r="AE52" s="38"/>
      <c r="AF52" s="38"/>
      <c r="AG52" s="38"/>
      <c r="AH52" s="38"/>
      <c r="AI52" s="38"/>
      <c r="AJ52" s="38"/>
      <c r="AK52" s="48"/>
      <c r="AL52" s="38"/>
      <c r="AM52" s="38"/>
      <c r="AN52" s="38"/>
      <c r="AO52" s="38"/>
      <c r="AP52" s="38"/>
      <c r="AQ52" s="38"/>
      <c r="AR52" s="38"/>
      <c r="AS52" s="38"/>
      <c r="AT52" s="38"/>
      <c r="AU52" s="48"/>
    </row>
    <row r="53" ht="15.75" customHeight="1">
      <c r="A53" s="33"/>
      <c r="B53" s="38"/>
      <c r="C53" s="48"/>
      <c r="D53" s="38"/>
      <c r="E53" s="48"/>
      <c r="N53" s="38"/>
      <c r="O53" s="38"/>
      <c r="P53" s="38"/>
      <c r="Q53" s="38"/>
      <c r="R53" s="203"/>
      <c r="S53" s="203"/>
      <c r="T53" s="203"/>
      <c r="U53" s="203"/>
      <c r="V53" s="38"/>
      <c r="W53" s="38"/>
      <c r="X53" s="38"/>
      <c r="Y53" s="38"/>
      <c r="Z53" s="38"/>
      <c r="AA53" s="38"/>
      <c r="AB53" s="38"/>
      <c r="AC53" s="38"/>
      <c r="AD53" s="38"/>
      <c r="AE53" s="38"/>
      <c r="AF53" s="38"/>
      <c r="AG53" s="38"/>
      <c r="AH53" s="38"/>
      <c r="AI53" s="38"/>
      <c r="AJ53" s="38"/>
      <c r="AK53" s="48"/>
      <c r="AL53" s="38"/>
      <c r="AM53" s="38"/>
      <c r="AN53" s="38"/>
      <c r="AO53" s="38"/>
      <c r="AP53" s="38"/>
      <c r="AQ53" s="38"/>
      <c r="AR53" s="38"/>
      <c r="AS53" s="38"/>
      <c r="AT53" s="38"/>
      <c r="AU53" s="48"/>
    </row>
    <row r="54" ht="15.75" customHeight="1">
      <c r="A54" s="33"/>
      <c r="B54" s="38"/>
      <c r="C54" s="48"/>
      <c r="D54" s="38"/>
      <c r="E54" s="48"/>
      <c r="N54" s="38"/>
      <c r="O54" s="38"/>
      <c r="P54" s="38"/>
      <c r="Q54" s="38"/>
      <c r="R54" s="203"/>
      <c r="S54" s="203"/>
      <c r="T54" s="203"/>
      <c r="U54" s="203"/>
      <c r="AA54" s="38"/>
      <c r="AB54" s="38"/>
      <c r="AC54" s="38"/>
      <c r="AD54" s="38"/>
      <c r="AE54" s="38"/>
      <c r="AF54" s="38"/>
      <c r="AG54" s="38"/>
      <c r="AH54" s="38"/>
      <c r="AI54" s="38"/>
      <c r="AJ54" s="38"/>
      <c r="AK54" s="48"/>
      <c r="AL54" s="38"/>
      <c r="AM54" s="38"/>
      <c r="AN54" s="38"/>
      <c r="AO54" s="38"/>
      <c r="AP54" s="38"/>
      <c r="AQ54" s="38"/>
      <c r="AR54" s="38"/>
      <c r="AS54" s="38"/>
      <c r="AT54" s="38"/>
      <c r="AU54" s="48"/>
    </row>
    <row r="55" ht="15.75" customHeight="1">
      <c r="A55" s="170" t="s">
        <v>1713</v>
      </c>
      <c r="B55" s="38">
        <v>1.0</v>
      </c>
      <c r="C55" s="48"/>
      <c r="D55" s="173" t="s">
        <v>305</v>
      </c>
      <c r="E55" s="173"/>
      <c r="F55" s="299" t="s">
        <v>1717</v>
      </c>
      <c r="G55" s="180"/>
      <c r="H55" s="180"/>
      <c r="I55" s="180"/>
      <c r="J55" s="38"/>
      <c r="K55" s="235"/>
      <c r="L55" s="38"/>
      <c r="M55" s="299" t="s">
        <v>1722</v>
      </c>
      <c r="N55" s="180"/>
      <c r="O55" s="180"/>
      <c r="P55" s="38"/>
      <c r="Q55" s="38"/>
      <c r="R55" s="203"/>
      <c r="S55" s="203"/>
      <c r="T55" s="203"/>
      <c r="U55" s="203"/>
      <c r="V55" s="299" t="s">
        <v>1725</v>
      </c>
      <c r="W55" s="180"/>
      <c r="X55" s="180"/>
      <c r="Y55" s="180"/>
      <c r="Z55" s="38"/>
      <c r="AA55" s="235"/>
      <c r="AB55" s="38"/>
      <c r="AC55" s="299" t="s">
        <v>1729</v>
      </c>
      <c r="AD55" s="180"/>
      <c r="AE55" s="180"/>
      <c r="AF55" s="38"/>
      <c r="AG55" s="38"/>
      <c r="AH55" s="299" t="s">
        <v>1731</v>
      </c>
      <c r="AI55" s="180"/>
      <c r="AJ55" s="180"/>
      <c r="AK55" s="349"/>
      <c r="AL55" s="230" t="s">
        <v>474</v>
      </c>
      <c r="AM55" s="232"/>
      <c r="AN55" s="232"/>
      <c r="AO55" s="232"/>
      <c r="AP55" s="38"/>
      <c r="AQ55" s="38"/>
      <c r="AR55" s="38"/>
      <c r="AS55" s="38"/>
      <c r="AT55" s="38"/>
      <c r="AU55" s="48"/>
    </row>
    <row r="56" ht="15.75" customHeight="1">
      <c r="A56" s="350" t="s">
        <v>1738</v>
      </c>
      <c r="B56" s="38">
        <v>2.0</v>
      </c>
      <c r="C56" s="48"/>
      <c r="D56" s="38"/>
      <c r="E56" s="48"/>
      <c r="F56" s="7" t="s">
        <v>1739</v>
      </c>
      <c r="G56" s="38"/>
      <c r="I56" s="351"/>
      <c r="J56" s="352" t="s">
        <v>1717</v>
      </c>
      <c r="K56" s="177"/>
      <c r="L56" s="112"/>
      <c r="N56" s="38"/>
      <c r="P56" s="352" t="s">
        <v>1722</v>
      </c>
      <c r="Q56" s="177"/>
      <c r="R56" s="203"/>
      <c r="S56" s="203"/>
      <c r="T56" s="203"/>
      <c r="U56" s="203"/>
      <c r="W56" s="38"/>
      <c r="Y56" s="351"/>
      <c r="Z56" s="352" t="s">
        <v>1725</v>
      </c>
      <c r="AA56" s="177"/>
      <c r="AB56" s="112"/>
      <c r="AD56" s="38"/>
      <c r="AF56" s="352" t="s">
        <v>1729</v>
      </c>
      <c r="AG56" s="177"/>
      <c r="AJ56" s="351"/>
      <c r="AK56" s="300"/>
      <c r="AL56" s="38"/>
      <c r="AM56" s="38"/>
      <c r="AN56" s="38"/>
      <c r="AO56" s="38"/>
      <c r="AP56" s="38"/>
      <c r="AQ56" s="38"/>
      <c r="AR56" s="38"/>
      <c r="AS56" s="38"/>
      <c r="AT56" s="38"/>
      <c r="AU56" s="48"/>
    </row>
    <row r="57" ht="15.75" customHeight="1">
      <c r="A57" s="216"/>
      <c r="B57" s="38">
        <v>3.0</v>
      </c>
      <c r="C57" s="48"/>
      <c r="D57" s="38"/>
      <c r="E57" s="48"/>
      <c r="K57" s="14"/>
      <c r="R57" s="203"/>
      <c r="S57" s="203"/>
      <c r="T57" s="203"/>
      <c r="U57" s="203"/>
      <c r="W57" s="14"/>
      <c r="AC57" s="14"/>
      <c r="AD57" s="52"/>
      <c r="AE57" s="38"/>
      <c r="AI57" s="14"/>
      <c r="AK57" s="48"/>
      <c r="AL57" s="38"/>
      <c r="AM57" s="38"/>
      <c r="AN57" s="38"/>
      <c r="AO57" s="38"/>
      <c r="AP57" s="38"/>
      <c r="AQ57" s="38"/>
      <c r="AR57" s="38"/>
      <c r="AS57" s="38"/>
      <c r="AT57" s="38"/>
      <c r="AU57" s="48"/>
    </row>
    <row r="58" ht="15.75" customHeight="1">
      <c r="B58" s="38">
        <v>4.0</v>
      </c>
      <c r="C58" s="48"/>
      <c r="D58" s="38"/>
      <c r="E58" s="48"/>
      <c r="F58" s="38"/>
      <c r="G58" s="38"/>
      <c r="H58" s="38"/>
      <c r="J58" s="38"/>
      <c r="K58" s="38"/>
      <c r="L58" s="38"/>
      <c r="M58" s="38"/>
      <c r="N58" s="38"/>
      <c r="O58" s="38"/>
      <c r="P58" s="38"/>
      <c r="Q58" s="38"/>
      <c r="R58" s="203"/>
      <c r="S58" s="203"/>
      <c r="T58" s="203"/>
      <c r="U58" s="203"/>
      <c r="V58" s="38"/>
      <c r="W58" s="38"/>
      <c r="X58" s="38"/>
      <c r="Y58" s="38"/>
      <c r="Z58" s="38"/>
      <c r="AA58" s="38"/>
      <c r="AF58" s="38"/>
      <c r="AG58" s="38"/>
      <c r="AH58" s="38"/>
      <c r="AI58" s="38"/>
      <c r="AJ58" s="38"/>
      <c r="AK58" s="48"/>
      <c r="AL58" s="38"/>
      <c r="AM58" s="38"/>
      <c r="AN58" s="38"/>
      <c r="AO58" s="38"/>
      <c r="AP58" s="38"/>
      <c r="AQ58" s="38"/>
      <c r="AR58" s="38"/>
      <c r="AS58" s="38"/>
      <c r="AT58" s="38"/>
      <c r="AU58" s="48"/>
    </row>
    <row r="59" ht="15.75" customHeight="1">
      <c r="A59" s="33"/>
      <c r="B59" s="38">
        <v>5.0</v>
      </c>
      <c r="C59" s="48"/>
      <c r="D59" s="38"/>
      <c r="E59" s="48"/>
      <c r="F59" s="38"/>
      <c r="G59" s="38"/>
      <c r="H59" s="38"/>
      <c r="I59" s="38"/>
      <c r="J59" s="38"/>
      <c r="K59" s="38"/>
      <c r="L59" s="38"/>
      <c r="M59" s="38"/>
      <c r="N59" s="38"/>
      <c r="O59" s="38"/>
      <c r="P59" s="38"/>
      <c r="Q59" s="38"/>
      <c r="R59" s="203"/>
      <c r="S59" s="203"/>
      <c r="T59" s="203"/>
      <c r="U59" s="203"/>
      <c r="V59" s="38"/>
      <c r="W59" s="38"/>
      <c r="X59" s="38"/>
      <c r="Y59" s="38"/>
      <c r="Z59" s="38"/>
      <c r="AA59" s="38"/>
      <c r="AB59" s="38"/>
      <c r="AC59" s="38"/>
      <c r="AD59" s="38"/>
      <c r="AE59" s="38"/>
      <c r="AF59" s="38"/>
      <c r="AG59" s="38"/>
      <c r="AH59" s="38"/>
      <c r="AI59" s="38"/>
      <c r="AJ59" s="38"/>
      <c r="AK59" s="48"/>
      <c r="AL59" s="38"/>
      <c r="AM59" s="38"/>
      <c r="AN59" s="38"/>
      <c r="AO59" s="38"/>
      <c r="AP59" s="38"/>
      <c r="AQ59" s="38"/>
      <c r="AR59" s="38"/>
      <c r="AS59" s="38"/>
      <c r="AT59" s="38"/>
      <c r="AU59" s="48"/>
    </row>
    <row r="60" ht="15.75" customHeight="1">
      <c r="A60" s="33"/>
      <c r="B60" s="38"/>
      <c r="C60" s="48"/>
      <c r="D60" s="38"/>
      <c r="E60" s="48"/>
      <c r="F60" s="38"/>
      <c r="G60" s="38"/>
      <c r="H60" s="38"/>
      <c r="I60" s="38"/>
      <c r="J60" s="38"/>
      <c r="K60" s="38"/>
      <c r="L60" s="38"/>
      <c r="M60" s="38"/>
      <c r="N60" s="38"/>
      <c r="O60" s="38"/>
      <c r="P60" s="38"/>
      <c r="Q60" s="38"/>
      <c r="R60" s="203"/>
      <c r="S60" s="203"/>
      <c r="T60" s="203"/>
      <c r="U60" s="203"/>
      <c r="V60" s="38"/>
      <c r="W60" s="38"/>
      <c r="X60" s="38"/>
      <c r="Y60" s="38"/>
      <c r="Z60" s="38"/>
      <c r="AA60" s="38"/>
      <c r="AB60" s="38"/>
      <c r="AC60" s="38"/>
      <c r="AD60" s="38"/>
      <c r="AE60" s="38"/>
      <c r="AF60" s="38"/>
      <c r="AG60" s="38"/>
      <c r="AH60" s="38"/>
      <c r="AI60" s="38"/>
      <c r="AJ60" s="38"/>
      <c r="AK60" s="48"/>
      <c r="AL60" s="38"/>
      <c r="AM60" s="38"/>
      <c r="AN60" s="38"/>
      <c r="AO60" s="38"/>
      <c r="AP60" s="38"/>
      <c r="AQ60" s="38"/>
      <c r="AR60" s="38"/>
      <c r="AS60" s="38"/>
      <c r="AT60" s="38"/>
      <c r="AU60" s="48"/>
    </row>
    <row r="61" ht="15.75" customHeight="1">
      <c r="A61" s="170" t="s">
        <v>1837</v>
      </c>
      <c r="B61" s="38">
        <v>1.0</v>
      </c>
      <c r="C61" s="48"/>
      <c r="D61" s="173" t="s">
        <v>305</v>
      </c>
      <c r="E61" s="173"/>
      <c r="F61" s="299" t="s">
        <v>1646</v>
      </c>
      <c r="G61" s="180"/>
      <c r="H61" s="180"/>
      <c r="I61" s="180"/>
      <c r="J61" s="38"/>
      <c r="K61" s="235"/>
      <c r="L61" s="38"/>
      <c r="M61" s="299" t="s">
        <v>1647</v>
      </c>
      <c r="N61" s="180"/>
      <c r="O61" s="180"/>
      <c r="P61" s="38"/>
      <c r="Q61" s="38"/>
      <c r="R61" s="203"/>
      <c r="S61" s="203"/>
      <c r="T61" s="203"/>
      <c r="U61" s="203"/>
      <c r="V61" s="299" t="s">
        <v>1648</v>
      </c>
      <c r="W61" s="180"/>
      <c r="X61" s="180"/>
      <c r="Y61" s="180"/>
      <c r="Z61" s="38"/>
      <c r="AA61" s="235"/>
      <c r="AB61" s="38"/>
      <c r="AC61" s="299" t="s">
        <v>1649</v>
      </c>
      <c r="AD61" s="180"/>
      <c r="AE61" s="180"/>
      <c r="AF61" s="38"/>
      <c r="AG61" s="38"/>
      <c r="AH61" s="299" t="s">
        <v>1650</v>
      </c>
      <c r="AI61" s="180"/>
      <c r="AJ61" s="180"/>
      <c r="AK61" s="349"/>
      <c r="AL61" s="230" t="s">
        <v>474</v>
      </c>
      <c r="AM61" s="232"/>
      <c r="AN61" s="232"/>
      <c r="AO61" s="232"/>
      <c r="AP61" s="38"/>
      <c r="AQ61" s="38"/>
      <c r="AR61" s="38"/>
      <c r="AS61" s="38"/>
      <c r="AT61" s="38"/>
      <c r="AU61" s="48"/>
    </row>
    <row r="62" ht="15.75" customHeight="1">
      <c r="A62" s="350" t="s">
        <v>1866</v>
      </c>
      <c r="B62" s="38">
        <v>2.0</v>
      </c>
      <c r="C62" s="48"/>
      <c r="D62" s="38"/>
      <c r="E62" s="48"/>
      <c r="F62" s="7" t="s">
        <v>1652</v>
      </c>
      <c r="G62" s="38"/>
      <c r="I62" s="351"/>
      <c r="J62" s="352" t="s">
        <v>1646</v>
      </c>
      <c r="K62" s="177"/>
      <c r="L62" s="112"/>
      <c r="N62" s="38"/>
      <c r="P62" s="352" t="s">
        <v>1647</v>
      </c>
      <c r="Q62" s="177"/>
      <c r="R62" s="203"/>
      <c r="S62" s="203"/>
      <c r="T62" s="203"/>
      <c r="U62" s="203"/>
      <c r="W62" s="38"/>
      <c r="Y62" s="351"/>
      <c r="Z62" s="352" t="s">
        <v>1648</v>
      </c>
      <c r="AA62" s="177"/>
      <c r="AB62" s="112"/>
      <c r="AD62" s="38"/>
      <c r="AF62" s="352" t="s">
        <v>1649</v>
      </c>
      <c r="AG62" s="177"/>
      <c r="AH62" s="7" t="s">
        <v>1653</v>
      </c>
      <c r="AJ62" s="351"/>
      <c r="AK62" s="300"/>
      <c r="AL62" s="38"/>
      <c r="AM62" s="38"/>
      <c r="AN62" s="38"/>
      <c r="AO62" s="38"/>
      <c r="AP62" s="38"/>
      <c r="AQ62" s="38"/>
      <c r="AR62" s="38"/>
      <c r="AS62" s="38"/>
      <c r="AT62" s="38"/>
      <c r="AU62" s="48"/>
    </row>
    <row r="63" ht="15.75" customHeight="1">
      <c r="A63" s="216" t="s">
        <v>1893</v>
      </c>
      <c r="B63" s="38">
        <v>3.0</v>
      </c>
      <c r="C63" s="48"/>
      <c r="D63" s="38"/>
      <c r="E63" s="48"/>
      <c r="F63" s="7" t="s">
        <v>1897</v>
      </c>
      <c r="L63" s="14"/>
      <c r="O63" s="38"/>
      <c r="P63" s="38"/>
      <c r="Q63" s="38"/>
      <c r="R63" s="203"/>
      <c r="S63" s="203"/>
      <c r="T63" s="203"/>
      <c r="U63" s="203"/>
      <c r="X63" s="38"/>
      <c r="Y63" s="38"/>
      <c r="Z63" s="38"/>
      <c r="AB63" s="14"/>
      <c r="AC63" s="38"/>
      <c r="AF63" s="38"/>
      <c r="AJ63" s="14"/>
      <c r="AK63" s="38"/>
      <c r="AL63" s="38"/>
      <c r="AM63" s="38"/>
      <c r="AN63" s="38"/>
      <c r="AO63" s="38"/>
      <c r="AP63" s="38"/>
      <c r="AQ63" s="38"/>
      <c r="AR63" s="38"/>
      <c r="AS63" s="38"/>
      <c r="AT63" s="38"/>
      <c r="AU63" s="48"/>
    </row>
    <row r="64" ht="15.75" customHeight="1">
      <c r="B64" s="38">
        <v>4.0</v>
      </c>
      <c r="C64" s="48"/>
      <c r="D64" s="38"/>
      <c r="E64" s="48"/>
      <c r="F64" s="38"/>
      <c r="G64" s="38"/>
      <c r="H64" s="38"/>
      <c r="I64" s="38"/>
      <c r="J64" s="38"/>
      <c r="K64" s="38"/>
      <c r="L64" s="38"/>
      <c r="M64" s="38"/>
      <c r="N64" s="38"/>
      <c r="O64" s="38"/>
      <c r="P64" s="38"/>
      <c r="Q64" s="38"/>
      <c r="R64" s="203"/>
      <c r="S64" s="203"/>
      <c r="T64" s="203"/>
      <c r="U64" s="203"/>
      <c r="V64" s="38"/>
      <c r="W64" s="38"/>
      <c r="X64" s="38"/>
      <c r="Y64" s="38"/>
      <c r="Z64" s="38"/>
      <c r="AA64" s="38"/>
      <c r="AB64" s="38"/>
      <c r="AC64" s="38"/>
      <c r="AD64" s="38"/>
      <c r="AE64" s="38"/>
      <c r="AF64" s="38"/>
      <c r="AG64" s="38"/>
      <c r="AH64" s="38"/>
      <c r="AI64" s="38"/>
      <c r="AJ64" s="38"/>
      <c r="AK64" s="48"/>
      <c r="AL64" s="38"/>
      <c r="AM64" s="38"/>
      <c r="AN64" s="38"/>
      <c r="AO64" s="38"/>
      <c r="AP64" s="38"/>
      <c r="AQ64" s="38"/>
      <c r="AR64" s="38"/>
      <c r="AS64" s="38"/>
      <c r="AT64" s="38"/>
      <c r="AU64" s="48"/>
    </row>
    <row r="65" ht="15.75" customHeight="1">
      <c r="A65" s="33"/>
      <c r="B65" s="38">
        <v>5.0</v>
      </c>
      <c r="C65" s="48"/>
      <c r="D65" s="38"/>
      <c r="E65" s="48"/>
      <c r="F65" s="38"/>
      <c r="G65" s="38"/>
      <c r="H65" s="38"/>
      <c r="I65" s="38"/>
      <c r="J65" s="38"/>
      <c r="K65" s="38"/>
      <c r="L65" s="38"/>
      <c r="M65" s="38"/>
      <c r="N65" s="38"/>
      <c r="O65" s="38"/>
      <c r="P65" s="38"/>
      <c r="Q65" s="38"/>
      <c r="R65" s="203"/>
      <c r="S65" s="203"/>
      <c r="T65" s="203"/>
      <c r="U65" s="203"/>
      <c r="V65" s="38"/>
      <c r="W65" s="38"/>
      <c r="X65" s="38"/>
      <c r="Y65" s="38"/>
      <c r="Z65" s="38"/>
      <c r="AA65" s="38"/>
      <c r="AB65" s="38"/>
      <c r="AC65" s="38"/>
      <c r="AD65" s="38"/>
      <c r="AE65" s="38"/>
      <c r="AF65" s="38"/>
      <c r="AG65" s="38"/>
      <c r="AH65" s="38"/>
      <c r="AI65" s="38"/>
      <c r="AJ65" s="38"/>
      <c r="AK65" s="48"/>
      <c r="AL65" s="38"/>
      <c r="AM65" s="38"/>
      <c r="AN65" s="38"/>
      <c r="AO65" s="38"/>
      <c r="AP65" s="38"/>
      <c r="AQ65" s="38"/>
      <c r="AR65" s="38"/>
      <c r="AS65" s="38"/>
      <c r="AT65" s="38"/>
      <c r="AU65" s="48"/>
    </row>
    <row r="66" ht="15.75" customHeight="1">
      <c r="A66" s="33"/>
      <c r="B66" s="38"/>
      <c r="C66" s="48"/>
      <c r="D66" s="38"/>
      <c r="E66" s="48"/>
      <c r="F66" s="38"/>
      <c r="G66" s="38"/>
      <c r="H66" s="38"/>
      <c r="I66" s="38"/>
      <c r="J66" s="38"/>
      <c r="K66" s="38"/>
      <c r="L66" s="38"/>
      <c r="M66" s="38"/>
      <c r="N66" s="38"/>
      <c r="O66" s="38"/>
      <c r="P66" s="38"/>
      <c r="Q66" s="38"/>
      <c r="R66" s="203"/>
      <c r="S66" s="203"/>
      <c r="T66" s="203"/>
      <c r="U66" s="203"/>
      <c r="V66" s="38"/>
      <c r="W66" s="38"/>
      <c r="X66" s="38"/>
      <c r="Y66" s="38"/>
      <c r="Z66" s="38"/>
      <c r="AA66" s="38"/>
      <c r="AB66" s="38"/>
      <c r="AC66" s="38"/>
      <c r="AD66" s="38"/>
      <c r="AE66" s="38"/>
      <c r="AF66" s="38"/>
      <c r="AG66" s="38"/>
      <c r="AH66" s="38"/>
      <c r="AI66" s="38"/>
      <c r="AJ66" s="38"/>
      <c r="AK66" s="48"/>
      <c r="AL66" s="38"/>
      <c r="AM66" s="38"/>
      <c r="AN66" s="38"/>
      <c r="AO66" s="38"/>
      <c r="AP66" s="38"/>
      <c r="AQ66" s="38"/>
      <c r="AR66" s="38"/>
      <c r="AS66" s="38"/>
      <c r="AT66" s="38"/>
      <c r="AU66" s="48"/>
    </row>
    <row r="67" ht="15.75" customHeight="1">
      <c r="A67" s="33"/>
      <c r="B67" s="38"/>
      <c r="C67" s="48"/>
      <c r="D67" s="38"/>
      <c r="E67" s="48"/>
      <c r="F67" s="38"/>
      <c r="G67" s="38"/>
      <c r="H67" s="38"/>
      <c r="I67" s="38"/>
      <c r="J67" s="38"/>
      <c r="K67" s="38"/>
      <c r="L67" s="38"/>
      <c r="M67" s="38"/>
      <c r="N67" s="38"/>
      <c r="O67" s="38"/>
      <c r="P67" s="38"/>
      <c r="Q67" s="38"/>
      <c r="R67" s="203"/>
      <c r="S67" s="203"/>
      <c r="T67" s="203"/>
      <c r="U67" s="203"/>
      <c r="V67" s="38"/>
      <c r="W67" s="38"/>
      <c r="X67" s="38"/>
      <c r="Y67" s="38"/>
      <c r="Z67" s="38"/>
      <c r="AA67" s="38"/>
      <c r="AB67" s="38"/>
      <c r="AC67" s="38"/>
      <c r="AD67" s="38"/>
      <c r="AE67" s="38"/>
      <c r="AF67" s="38"/>
      <c r="AG67" s="38"/>
      <c r="AH67" s="38"/>
      <c r="AI67" s="38"/>
      <c r="AJ67" s="38"/>
      <c r="AK67" s="48"/>
      <c r="AL67" s="38"/>
      <c r="AM67" s="38"/>
      <c r="AN67" s="38"/>
      <c r="AO67" s="38"/>
      <c r="AP67" s="38"/>
      <c r="AQ67" s="38"/>
      <c r="AR67" s="38"/>
      <c r="AS67" s="38"/>
      <c r="AT67" s="38"/>
      <c r="AU67" s="48"/>
    </row>
    <row r="68" ht="15.75" customHeight="1">
      <c r="A68" s="170" t="s">
        <v>1988</v>
      </c>
      <c r="B68" s="38">
        <v>1.0</v>
      </c>
      <c r="C68" s="48"/>
      <c r="D68" s="173" t="s">
        <v>305</v>
      </c>
      <c r="E68" s="173"/>
      <c r="F68" s="299" t="s">
        <v>1989</v>
      </c>
      <c r="G68" s="180"/>
      <c r="H68" s="180"/>
      <c r="I68" s="180"/>
      <c r="M68" s="299" t="s">
        <v>1990</v>
      </c>
      <c r="N68" s="180"/>
      <c r="O68" s="180"/>
      <c r="P68" s="300"/>
      <c r="Q68" s="300"/>
      <c r="R68" s="203"/>
      <c r="S68" s="203"/>
      <c r="T68" s="203"/>
      <c r="U68" s="203"/>
      <c r="V68" s="299" t="s">
        <v>1991</v>
      </c>
      <c r="W68" s="180"/>
      <c r="X68" s="180"/>
      <c r="Y68" s="180"/>
      <c r="AC68" s="299" t="s">
        <v>1992</v>
      </c>
      <c r="AD68" s="180"/>
      <c r="AE68" s="180"/>
      <c r="AF68" s="180"/>
      <c r="AJ68" s="250"/>
      <c r="AK68" s="48"/>
      <c r="AL68" s="230" t="s">
        <v>474</v>
      </c>
      <c r="AM68" s="232"/>
      <c r="AN68" s="232"/>
      <c r="AO68" s="232"/>
      <c r="AP68" s="38"/>
      <c r="AQ68" s="38"/>
      <c r="AR68" s="38"/>
      <c r="AS68" s="38"/>
      <c r="AT68" s="38"/>
      <c r="AU68" s="48"/>
    </row>
    <row r="69" ht="15.75" customHeight="1">
      <c r="A69" s="216" t="s">
        <v>1994</v>
      </c>
      <c r="B69" s="38">
        <v>2.0</v>
      </c>
      <c r="C69" s="48"/>
      <c r="D69" s="38"/>
      <c r="E69" s="48"/>
      <c r="F69" s="7" t="s">
        <v>1995</v>
      </c>
      <c r="J69" s="294" t="s">
        <v>1989</v>
      </c>
      <c r="K69" s="177"/>
      <c r="L69" s="177"/>
      <c r="M69" s="7" t="s">
        <v>1996</v>
      </c>
      <c r="P69" s="294" t="s">
        <v>1997</v>
      </c>
      <c r="Q69" s="177"/>
      <c r="R69" s="203"/>
      <c r="S69" s="203"/>
      <c r="T69" s="203"/>
      <c r="U69" s="203"/>
      <c r="V69" s="7" t="s">
        <v>1998</v>
      </c>
      <c r="Z69" s="294" t="s">
        <v>1999</v>
      </c>
      <c r="AA69" s="177"/>
      <c r="AB69" s="177"/>
      <c r="AC69" s="7" t="s">
        <v>2000</v>
      </c>
      <c r="AG69" s="294" t="s">
        <v>2001</v>
      </c>
      <c r="AH69" s="177"/>
      <c r="AI69" s="177"/>
      <c r="AJ69" s="112"/>
      <c r="AK69" s="309"/>
      <c r="AL69" s="38"/>
      <c r="AM69" s="38"/>
      <c r="AN69" s="38"/>
      <c r="AO69" s="38"/>
      <c r="AP69" s="38"/>
      <c r="AQ69" s="38"/>
      <c r="AR69" s="38"/>
      <c r="AS69" s="38"/>
      <c r="AT69" s="38"/>
      <c r="AU69" s="48"/>
    </row>
    <row r="70" ht="15.75" customHeight="1">
      <c r="A70" s="216" t="s">
        <v>2002</v>
      </c>
      <c r="B70" s="38">
        <v>3.0</v>
      </c>
      <c r="C70" s="48"/>
      <c r="D70" s="38"/>
      <c r="E70" s="48"/>
      <c r="K70" s="14"/>
      <c r="Q70" s="14"/>
      <c r="R70" s="203"/>
      <c r="S70" s="203"/>
      <c r="T70" s="203"/>
      <c r="U70" s="203"/>
      <c r="Z70" s="14"/>
      <c r="AE70" s="14"/>
      <c r="AJ70" s="14"/>
      <c r="AK70" s="48"/>
      <c r="AL70" s="38"/>
      <c r="AM70" s="38"/>
      <c r="AN70" s="38"/>
      <c r="AO70" s="38"/>
      <c r="AP70" s="38"/>
      <c r="AQ70" s="38"/>
      <c r="AR70" s="38"/>
      <c r="AS70" s="38"/>
      <c r="AT70" s="38"/>
      <c r="AU70" s="48"/>
    </row>
    <row r="71" ht="15.75" customHeight="1">
      <c r="A71" s="33"/>
      <c r="B71" s="38">
        <v>4.0</v>
      </c>
      <c r="C71" s="48"/>
      <c r="D71" s="38"/>
      <c r="E71" s="48"/>
      <c r="F71" s="38"/>
      <c r="G71" s="38"/>
      <c r="H71" s="38"/>
      <c r="I71" s="38"/>
      <c r="J71" s="38"/>
      <c r="M71" s="38"/>
      <c r="N71" s="38"/>
      <c r="O71" s="38"/>
      <c r="P71" s="38"/>
      <c r="Q71" s="38"/>
      <c r="R71" s="203"/>
      <c r="S71" s="203"/>
      <c r="T71" s="203"/>
      <c r="U71" s="203"/>
      <c r="V71" s="38"/>
      <c r="W71" s="38"/>
      <c r="X71" s="38"/>
      <c r="Y71" s="38"/>
      <c r="Z71" s="38"/>
      <c r="AC71" s="38"/>
      <c r="AD71" s="38"/>
      <c r="AE71" s="38"/>
      <c r="AF71" s="38"/>
      <c r="AG71" s="38"/>
      <c r="AH71" s="38"/>
      <c r="AI71" s="38"/>
      <c r="AJ71" s="38"/>
      <c r="AK71" s="48"/>
      <c r="AL71" s="38"/>
      <c r="AM71" s="38"/>
      <c r="AN71" s="38"/>
      <c r="AO71" s="38"/>
      <c r="AP71" s="38"/>
      <c r="AQ71" s="38"/>
      <c r="AR71" s="38"/>
      <c r="AS71" s="38"/>
      <c r="AT71" s="38"/>
      <c r="AU71" s="48"/>
    </row>
    <row r="72" ht="15.75" customHeight="1">
      <c r="A72" s="33"/>
      <c r="B72" s="38"/>
      <c r="C72" s="48"/>
      <c r="D72" s="38"/>
      <c r="E72" s="48"/>
      <c r="F72" s="38"/>
      <c r="G72" s="38"/>
      <c r="H72" s="38"/>
      <c r="I72" s="38"/>
      <c r="J72" s="38"/>
      <c r="K72" s="38"/>
      <c r="L72" s="38"/>
      <c r="M72" s="38"/>
      <c r="N72" s="38"/>
      <c r="O72" s="38"/>
      <c r="P72" s="38"/>
      <c r="Q72" s="38"/>
      <c r="R72" s="203"/>
      <c r="S72" s="203"/>
      <c r="T72" s="203"/>
      <c r="U72" s="203"/>
      <c r="V72" s="38"/>
      <c r="W72" s="38"/>
      <c r="X72" s="38"/>
      <c r="Y72" s="38"/>
      <c r="Z72" s="38"/>
      <c r="AA72" s="38"/>
      <c r="AB72" s="38"/>
      <c r="AC72" s="38"/>
      <c r="AD72" s="38"/>
      <c r="AE72" s="38"/>
      <c r="AF72" s="38"/>
      <c r="AG72" s="38"/>
      <c r="AH72" s="38"/>
      <c r="AI72" s="38"/>
      <c r="AJ72" s="38"/>
      <c r="AK72" s="48"/>
      <c r="AL72" s="38"/>
      <c r="AM72" s="38"/>
      <c r="AN72" s="38"/>
      <c r="AO72" s="38"/>
      <c r="AP72" s="38"/>
      <c r="AQ72" s="38"/>
      <c r="AR72" s="38"/>
      <c r="AS72" s="38"/>
      <c r="AT72" s="38"/>
      <c r="AU72" s="48"/>
    </row>
    <row r="73" ht="15.75" customHeight="1">
      <c r="A73" s="33"/>
      <c r="B73" s="38"/>
      <c r="C73" s="48"/>
      <c r="D73" s="38"/>
      <c r="E73" s="48"/>
      <c r="F73" s="38"/>
      <c r="G73" s="38"/>
      <c r="H73" s="38"/>
      <c r="I73" s="38"/>
      <c r="J73" s="38"/>
      <c r="K73" s="38"/>
      <c r="L73" s="38"/>
      <c r="M73" s="38"/>
      <c r="N73" s="38"/>
      <c r="O73" s="38"/>
      <c r="P73" s="38"/>
      <c r="Q73" s="38"/>
      <c r="R73" s="203"/>
      <c r="S73" s="203"/>
      <c r="T73" s="203"/>
      <c r="U73" s="203"/>
      <c r="V73" s="38"/>
      <c r="W73" s="38"/>
      <c r="X73" s="38"/>
      <c r="Y73" s="38"/>
      <c r="Z73" s="38"/>
      <c r="AA73" s="38"/>
      <c r="AB73" s="38"/>
      <c r="AC73" s="38"/>
      <c r="AD73" s="38"/>
      <c r="AE73" s="38"/>
      <c r="AF73" s="38"/>
      <c r="AG73" s="38"/>
      <c r="AH73" s="38"/>
      <c r="AI73" s="38"/>
      <c r="AJ73" s="38"/>
      <c r="AK73" s="48"/>
      <c r="AL73" s="38"/>
      <c r="AM73" s="38"/>
      <c r="AN73" s="38"/>
      <c r="AO73" s="38"/>
      <c r="AP73" s="38"/>
      <c r="AQ73" s="38"/>
      <c r="AR73" s="38"/>
      <c r="AS73" s="38"/>
      <c r="AT73" s="38"/>
      <c r="AU73" s="48"/>
    </row>
    <row r="74" ht="15.75" customHeight="1">
      <c r="A74" s="170" t="s">
        <v>2014</v>
      </c>
      <c r="B74" s="38">
        <v>1.0</v>
      </c>
      <c r="C74" s="48"/>
      <c r="D74" s="173" t="s">
        <v>305</v>
      </c>
      <c r="E74" s="173"/>
      <c r="F74" s="299" t="s">
        <v>2015</v>
      </c>
      <c r="G74" s="180"/>
      <c r="H74" s="180"/>
      <c r="I74" s="180"/>
      <c r="M74" s="299" t="s">
        <v>2016</v>
      </c>
      <c r="N74" s="180"/>
      <c r="O74" s="180"/>
      <c r="P74" s="180"/>
      <c r="R74" s="203"/>
      <c r="S74" s="203"/>
      <c r="T74" s="203"/>
      <c r="U74" s="203"/>
      <c r="V74" s="299" t="s">
        <v>2017</v>
      </c>
      <c r="W74" s="180"/>
      <c r="X74" s="180"/>
      <c r="Y74" s="180"/>
      <c r="AC74" s="299" t="s">
        <v>2019</v>
      </c>
      <c r="AD74" s="180"/>
      <c r="AG74" s="299" t="s">
        <v>2020</v>
      </c>
      <c r="AH74" s="180"/>
      <c r="AJ74" s="299" t="s">
        <v>2021</v>
      </c>
      <c r="AK74" s="180"/>
      <c r="AL74" s="230" t="s">
        <v>474</v>
      </c>
      <c r="AM74" s="232"/>
      <c r="AN74" s="232"/>
      <c r="AO74" s="232"/>
      <c r="AP74" s="38"/>
      <c r="AQ74" s="38"/>
      <c r="AR74" s="38"/>
      <c r="AS74" s="38"/>
      <c r="AT74" s="38"/>
      <c r="AU74" s="48"/>
    </row>
    <row r="75" ht="15.75" customHeight="1">
      <c r="A75" s="216" t="s">
        <v>2024</v>
      </c>
      <c r="B75" s="38">
        <v>2.0</v>
      </c>
      <c r="C75" s="48"/>
      <c r="D75" s="38"/>
      <c r="E75" s="48"/>
      <c r="F75" s="7" t="s">
        <v>2027</v>
      </c>
      <c r="J75" s="294" t="s">
        <v>2015</v>
      </c>
      <c r="K75" s="177"/>
      <c r="L75" s="177"/>
      <c r="M75" s="7" t="s">
        <v>2028</v>
      </c>
      <c r="Q75" s="294" t="s">
        <v>2016</v>
      </c>
      <c r="R75" s="203"/>
      <c r="S75" s="203"/>
      <c r="T75" s="203"/>
      <c r="U75" s="203"/>
      <c r="V75" s="7" t="s">
        <v>2030</v>
      </c>
      <c r="Z75" s="294" t="s">
        <v>2017</v>
      </c>
      <c r="AA75" s="177"/>
      <c r="AB75" s="177"/>
      <c r="AC75" s="7" t="s">
        <v>1566</v>
      </c>
      <c r="AE75" s="294" t="s">
        <v>2019</v>
      </c>
      <c r="AF75" s="177"/>
      <c r="AI75" s="297" t="s">
        <v>2020</v>
      </c>
      <c r="AJ75" s="7" t="s">
        <v>1996</v>
      </c>
      <c r="AL75" s="38"/>
      <c r="AM75" s="38"/>
      <c r="AN75" s="38"/>
      <c r="AO75" s="38"/>
      <c r="AP75" s="38"/>
      <c r="AQ75" s="38"/>
      <c r="AR75" s="38"/>
      <c r="AS75" s="38"/>
      <c r="AT75" s="38"/>
      <c r="AU75" s="48"/>
    </row>
    <row r="76" ht="15.75" customHeight="1">
      <c r="A76" s="216" t="s">
        <v>2031</v>
      </c>
      <c r="B76" s="38">
        <v>3.0</v>
      </c>
      <c r="C76" s="48"/>
      <c r="D76" s="38"/>
      <c r="E76" s="48"/>
      <c r="F76" s="38"/>
      <c r="G76" s="38"/>
      <c r="H76" s="38"/>
      <c r="I76" s="38"/>
      <c r="J76" s="38"/>
      <c r="K76" s="38"/>
      <c r="L76" s="38"/>
      <c r="M76" s="38"/>
      <c r="N76" s="38"/>
      <c r="O76" s="38"/>
      <c r="P76" s="38"/>
      <c r="Q76" s="38"/>
      <c r="R76" s="203"/>
      <c r="S76" s="203"/>
      <c r="T76" s="203"/>
      <c r="U76" s="203"/>
      <c r="V76" s="38"/>
      <c r="W76" s="38"/>
      <c r="AB76" s="38"/>
      <c r="AC76" s="38"/>
      <c r="AF76" s="38"/>
      <c r="AG76" s="38"/>
      <c r="AJ76" s="38"/>
      <c r="AK76" s="48"/>
      <c r="AL76" s="38"/>
      <c r="AM76" s="38"/>
      <c r="AN76" s="38"/>
      <c r="AO76" s="38"/>
      <c r="AP76" s="38"/>
      <c r="AQ76" s="38"/>
      <c r="AR76" s="38"/>
      <c r="AS76" s="38"/>
      <c r="AT76" s="38"/>
      <c r="AU76" s="48"/>
    </row>
    <row r="77" ht="15.75" customHeight="1">
      <c r="A77" s="216" t="s">
        <v>1588</v>
      </c>
      <c r="B77" s="38">
        <v>4.0</v>
      </c>
      <c r="C77" s="48"/>
      <c r="D77" s="38"/>
      <c r="E77" s="48"/>
      <c r="F77" s="38"/>
      <c r="G77" s="38"/>
      <c r="H77" s="38"/>
      <c r="I77" s="38"/>
      <c r="J77" s="38"/>
      <c r="K77" s="38"/>
      <c r="L77" s="38"/>
      <c r="M77" s="38"/>
      <c r="N77" s="38"/>
      <c r="O77" s="38"/>
      <c r="P77" s="38"/>
      <c r="Q77" s="38"/>
      <c r="R77" s="203"/>
      <c r="S77" s="203"/>
      <c r="T77" s="203"/>
      <c r="U77" s="203"/>
      <c r="V77" s="38"/>
      <c r="W77" s="38"/>
      <c r="AD77" s="38"/>
      <c r="AE77" s="38"/>
      <c r="AH77" s="38"/>
      <c r="AI77" s="38"/>
      <c r="AJ77" s="38"/>
      <c r="AK77" s="48"/>
      <c r="AL77" s="38"/>
      <c r="AM77" s="38"/>
      <c r="AN77" s="38"/>
      <c r="AO77" s="38"/>
      <c r="AP77" s="38"/>
      <c r="AQ77" s="38"/>
      <c r="AR77" s="38"/>
      <c r="AS77" s="38"/>
      <c r="AT77" s="38"/>
      <c r="AU77" s="48"/>
    </row>
    <row r="78" ht="15.75" customHeight="1">
      <c r="A78" s="33"/>
      <c r="B78" s="38">
        <v>5.0</v>
      </c>
      <c r="C78" s="48"/>
      <c r="D78" s="38"/>
      <c r="E78" s="48"/>
      <c r="F78" s="38"/>
      <c r="G78" s="38"/>
      <c r="H78" s="38"/>
      <c r="I78" s="38"/>
      <c r="J78" s="38"/>
      <c r="K78" s="38"/>
      <c r="L78" s="38"/>
      <c r="M78" s="38"/>
      <c r="N78" s="38"/>
      <c r="O78" s="38"/>
      <c r="P78" s="38"/>
      <c r="Q78" s="38"/>
      <c r="R78" s="203"/>
      <c r="S78" s="203"/>
      <c r="T78" s="203"/>
      <c r="U78" s="203"/>
      <c r="V78" s="38"/>
      <c r="W78" s="38"/>
      <c r="X78" s="38"/>
      <c r="Y78" s="38"/>
      <c r="Z78" s="38"/>
      <c r="AA78" s="38"/>
      <c r="AB78" s="38"/>
      <c r="AC78" s="38"/>
      <c r="AD78" s="38"/>
      <c r="AE78" s="38"/>
      <c r="AF78" s="38"/>
      <c r="AG78" s="38"/>
      <c r="AH78" s="38"/>
      <c r="AI78" s="38"/>
      <c r="AJ78" s="38"/>
      <c r="AK78" s="48"/>
      <c r="AL78" s="38"/>
      <c r="AM78" s="38"/>
      <c r="AN78" s="38"/>
      <c r="AO78" s="38"/>
      <c r="AP78" s="38"/>
      <c r="AQ78" s="38"/>
      <c r="AR78" s="38"/>
      <c r="AS78" s="38"/>
      <c r="AT78" s="38"/>
      <c r="AU78" s="48"/>
    </row>
    <row r="79" ht="15.75" customHeight="1">
      <c r="A79" s="33"/>
      <c r="B79" s="38">
        <v>6.0</v>
      </c>
      <c r="C79" s="48"/>
      <c r="D79" s="38"/>
      <c r="E79" s="48"/>
      <c r="F79" s="38"/>
      <c r="G79" s="38"/>
      <c r="H79" s="38"/>
      <c r="I79" s="38"/>
      <c r="J79" s="38"/>
      <c r="K79" s="38"/>
      <c r="L79" s="38"/>
      <c r="M79" s="38"/>
      <c r="N79" s="38"/>
      <c r="O79" s="38"/>
      <c r="P79" s="38"/>
      <c r="Q79" s="38"/>
      <c r="R79" s="203"/>
      <c r="S79" s="203"/>
      <c r="T79" s="203"/>
      <c r="U79" s="203"/>
      <c r="V79" s="38"/>
      <c r="W79" s="38"/>
      <c r="X79" s="38"/>
      <c r="Y79" s="38"/>
      <c r="Z79" s="38"/>
      <c r="AA79" s="38"/>
      <c r="AB79" s="38"/>
      <c r="AC79" s="38"/>
      <c r="AD79" s="38"/>
      <c r="AE79" s="38"/>
      <c r="AF79" s="38"/>
      <c r="AG79" s="38"/>
      <c r="AH79" s="38"/>
      <c r="AI79" s="38"/>
      <c r="AJ79" s="38"/>
      <c r="AK79" s="48"/>
      <c r="AL79" s="38"/>
      <c r="AM79" s="38"/>
      <c r="AN79" s="38"/>
      <c r="AO79" s="38"/>
      <c r="AP79" s="38"/>
      <c r="AQ79" s="38"/>
      <c r="AR79" s="38"/>
      <c r="AS79" s="38"/>
      <c r="AT79" s="38"/>
      <c r="AU79" s="48"/>
    </row>
    <row r="80" ht="15.75" customHeight="1">
      <c r="A80" s="33"/>
      <c r="B80" s="38"/>
      <c r="C80" s="48"/>
      <c r="D80" s="38"/>
      <c r="E80" s="48"/>
      <c r="F80" s="38"/>
      <c r="G80" s="38"/>
      <c r="H80" s="38"/>
      <c r="I80" s="38"/>
      <c r="J80" s="38"/>
      <c r="K80" s="38"/>
      <c r="L80" s="38"/>
      <c r="M80" s="38"/>
      <c r="N80" s="38"/>
      <c r="O80" s="38"/>
      <c r="P80" s="38"/>
      <c r="Q80" s="38"/>
      <c r="R80" s="203"/>
      <c r="S80" s="203"/>
      <c r="T80" s="203"/>
      <c r="U80" s="203"/>
      <c r="V80" s="38"/>
      <c r="W80" s="38"/>
      <c r="X80" s="38"/>
      <c r="Y80" s="38"/>
      <c r="Z80" s="38"/>
      <c r="AA80" s="38"/>
      <c r="AB80" s="38"/>
      <c r="AC80" s="38"/>
      <c r="AD80" s="38"/>
      <c r="AE80" s="38"/>
      <c r="AF80" s="38"/>
      <c r="AG80" s="38"/>
      <c r="AH80" s="38"/>
      <c r="AI80" s="38"/>
      <c r="AJ80" s="38"/>
      <c r="AK80" s="48"/>
      <c r="AL80" s="38"/>
      <c r="AM80" s="38"/>
      <c r="AN80" s="38"/>
      <c r="AO80" s="38"/>
      <c r="AP80" s="38"/>
      <c r="AQ80" s="38"/>
      <c r="AR80" s="38"/>
      <c r="AS80" s="38"/>
      <c r="AT80" s="38"/>
      <c r="AU80" s="48"/>
    </row>
    <row r="81" ht="15.75" customHeight="1">
      <c r="A81" s="170" t="s">
        <v>2046</v>
      </c>
      <c r="B81" s="38">
        <v>1.0</v>
      </c>
      <c r="C81" s="48"/>
      <c r="D81" s="173" t="s">
        <v>305</v>
      </c>
      <c r="E81" s="173"/>
      <c r="F81" s="299" t="s">
        <v>2047</v>
      </c>
      <c r="G81" s="180"/>
      <c r="H81" s="180"/>
      <c r="I81" s="180"/>
      <c r="M81" s="299" t="s">
        <v>2048</v>
      </c>
      <c r="N81" s="180"/>
      <c r="O81" s="180"/>
      <c r="P81" s="300"/>
      <c r="Q81" s="300"/>
      <c r="R81" s="203"/>
      <c r="S81" s="203"/>
      <c r="T81" s="203"/>
      <c r="U81" s="203"/>
      <c r="V81" s="299" t="s">
        <v>2050</v>
      </c>
      <c r="W81" s="180"/>
      <c r="X81" s="180"/>
      <c r="Y81" s="180"/>
      <c r="AC81" s="299" t="s">
        <v>2051</v>
      </c>
      <c r="AD81" s="180"/>
      <c r="AE81" s="180"/>
      <c r="AF81" s="180"/>
      <c r="AJ81" s="250"/>
      <c r="AK81" s="48"/>
      <c r="AL81" s="230" t="s">
        <v>474</v>
      </c>
      <c r="AM81" s="232"/>
      <c r="AN81" s="232"/>
      <c r="AO81" s="232"/>
      <c r="AP81" s="38"/>
      <c r="AQ81" s="38"/>
      <c r="AR81" s="38"/>
      <c r="AS81" s="38"/>
      <c r="AT81" s="38"/>
      <c r="AU81" s="48"/>
    </row>
    <row r="82" ht="15.75" customHeight="1">
      <c r="A82" s="216" t="s">
        <v>2052</v>
      </c>
      <c r="B82" s="38">
        <v>2.0</v>
      </c>
      <c r="C82" s="48"/>
      <c r="D82" s="38"/>
      <c r="E82" s="48"/>
      <c r="F82" s="7" t="s">
        <v>1257</v>
      </c>
      <c r="J82" s="294" t="s">
        <v>2047</v>
      </c>
      <c r="K82" s="177"/>
      <c r="L82" s="177"/>
      <c r="M82" s="7" t="s">
        <v>1258</v>
      </c>
      <c r="P82" s="294" t="s">
        <v>2048</v>
      </c>
      <c r="Q82" s="177"/>
      <c r="R82" s="203"/>
      <c r="S82" s="203"/>
      <c r="T82" s="203"/>
      <c r="U82" s="203"/>
      <c r="V82" s="7" t="s">
        <v>1440</v>
      </c>
      <c r="Z82" s="294" t="s">
        <v>2050</v>
      </c>
      <c r="AA82" s="177"/>
      <c r="AB82" s="177"/>
      <c r="AC82" s="7" t="s">
        <v>1443</v>
      </c>
      <c r="AG82" s="294" t="s">
        <v>2051</v>
      </c>
      <c r="AH82" s="177"/>
      <c r="AI82" s="177"/>
      <c r="AJ82" s="112"/>
      <c r="AK82" s="309"/>
      <c r="AL82" s="38"/>
      <c r="AM82" s="38"/>
      <c r="AN82" s="38"/>
      <c r="AO82" s="38"/>
      <c r="AP82" s="38"/>
      <c r="AQ82" s="38"/>
      <c r="AR82" s="38"/>
      <c r="AS82" s="38"/>
      <c r="AT82" s="38"/>
      <c r="AU82" s="48"/>
    </row>
    <row r="83" ht="15.75" customHeight="1">
      <c r="A83" s="216" t="s">
        <v>2054</v>
      </c>
      <c r="B83" s="38">
        <v>3.0</v>
      </c>
      <c r="C83" s="48"/>
      <c r="D83" s="38"/>
      <c r="E83" s="48"/>
      <c r="F83" s="38"/>
      <c r="G83" s="38"/>
      <c r="H83" s="38"/>
      <c r="K83" s="38"/>
      <c r="L83" s="38"/>
      <c r="O83" s="38"/>
      <c r="P83" s="38"/>
      <c r="Q83" s="38"/>
      <c r="R83" s="203"/>
      <c r="S83" s="203"/>
      <c r="T83" s="203"/>
      <c r="U83" s="203"/>
      <c r="X83" s="38"/>
      <c r="Y83" s="38"/>
      <c r="AC83" s="38"/>
      <c r="AD83" s="38"/>
      <c r="AI83" s="38"/>
      <c r="AJ83" s="38"/>
      <c r="AL83" s="38"/>
      <c r="AM83" s="38"/>
      <c r="AN83" s="38"/>
      <c r="AO83" s="38"/>
      <c r="AP83" s="38"/>
      <c r="AQ83" s="38"/>
      <c r="AR83" s="38"/>
      <c r="AS83" s="38"/>
      <c r="AT83" s="38"/>
      <c r="AU83" s="48"/>
    </row>
    <row r="84" ht="15.75" customHeight="1">
      <c r="B84" s="38">
        <v>4.0</v>
      </c>
      <c r="C84" s="48"/>
      <c r="D84" s="38"/>
      <c r="E84" s="48"/>
      <c r="H84" s="38"/>
      <c r="Q84" s="38"/>
      <c r="R84" s="203"/>
      <c r="S84" s="203"/>
      <c r="T84" s="203"/>
      <c r="U84" s="203"/>
      <c r="AE84" s="38"/>
      <c r="AL84" s="38"/>
      <c r="AM84" s="38"/>
      <c r="AN84" s="38"/>
      <c r="AO84" s="38"/>
      <c r="AP84" s="38"/>
      <c r="AQ84" s="38"/>
      <c r="AR84" s="38"/>
      <c r="AS84" s="38"/>
      <c r="AT84" s="38"/>
      <c r="AU84" s="48"/>
    </row>
    <row r="85" ht="15.75" customHeight="1">
      <c r="A85" s="47"/>
      <c r="B85" s="38">
        <v>5.0</v>
      </c>
      <c r="C85" s="48"/>
      <c r="D85" s="38"/>
      <c r="E85" s="48"/>
      <c r="F85" s="38"/>
      <c r="G85" s="38"/>
      <c r="H85" s="38"/>
      <c r="I85" s="38"/>
      <c r="J85" s="38"/>
      <c r="K85" s="38"/>
      <c r="L85" s="38"/>
      <c r="M85" s="38"/>
      <c r="N85" s="38"/>
      <c r="O85" s="38"/>
      <c r="P85" s="38"/>
      <c r="Q85" s="38"/>
      <c r="R85" s="203"/>
      <c r="S85" s="203"/>
      <c r="T85" s="203"/>
      <c r="U85" s="203"/>
      <c r="V85" s="38"/>
      <c r="W85" s="38"/>
      <c r="X85" s="38"/>
      <c r="Y85" s="38"/>
      <c r="Z85" s="38"/>
      <c r="AA85" s="38"/>
      <c r="AH85" s="38"/>
      <c r="AL85" s="38"/>
      <c r="AM85" s="38"/>
      <c r="AN85" s="38"/>
      <c r="AO85" s="38"/>
      <c r="AP85" s="38"/>
      <c r="AQ85" s="38"/>
      <c r="AR85" s="38"/>
      <c r="AS85" s="38"/>
      <c r="AT85" s="38"/>
      <c r="AU85" s="48"/>
    </row>
    <row r="86" ht="15.75" customHeight="1">
      <c r="A86" s="33"/>
      <c r="B86" s="38">
        <v>6.0</v>
      </c>
      <c r="C86" s="48"/>
      <c r="D86" s="38"/>
      <c r="E86" s="48"/>
      <c r="F86" s="38"/>
      <c r="G86" s="38"/>
      <c r="H86" s="38"/>
      <c r="I86" s="38"/>
      <c r="J86" s="38"/>
      <c r="K86" s="38"/>
      <c r="L86" s="38"/>
      <c r="M86" s="38"/>
      <c r="N86" s="38"/>
      <c r="O86" s="38"/>
      <c r="P86" s="38"/>
      <c r="Q86" s="38"/>
      <c r="R86" s="203"/>
      <c r="S86" s="203"/>
      <c r="T86" s="203"/>
      <c r="U86" s="203"/>
      <c r="V86" s="38"/>
      <c r="W86" s="38"/>
      <c r="X86" s="38"/>
      <c r="Y86" s="38"/>
      <c r="Z86" s="38"/>
      <c r="AA86" s="38"/>
      <c r="AB86" s="38"/>
      <c r="AC86" s="38"/>
      <c r="AD86" s="38"/>
      <c r="AE86" s="38"/>
      <c r="AF86" s="38"/>
      <c r="AG86" s="38"/>
      <c r="AH86" s="38"/>
      <c r="AI86" s="38"/>
      <c r="AJ86" s="38"/>
      <c r="AK86" s="48"/>
      <c r="AL86" s="38"/>
      <c r="AM86" s="38"/>
      <c r="AN86" s="38"/>
      <c r="AO86" s="38"/>
      <c r="AP86" s="38"/>
      <c r="AQ86" s="38"/>
      <c r="AR86" s="38"/>
      <c r="AS86" s="38"/>
      <c r="AT86" s="38"/>
      <c r="AU86" s="48"/>
    </row>
    <row r="87" ht="15.75" customHeight="1">
      <c r="A87" s="33"/>
      <c r="B87" s="38">
        <v>7.0</v>
      </c>
      <c r="C87" s="48"/>
      <c r="D87" s="38"/>
      <c r="E87" s="48"/>
      <c r="F87" s="38"/>
      <c r="G87" s="38"/>
      <c r="H87" s="38"/>
      <c r="I87" s="38"/>
      <c r="J87" s="38"/>
      <c r="K87" s="38"/>
      <c r="L87" s="38"/>
      <c r="M87" s="38"/>
      <c r="N87" s="38"/>
      <c r="O87" s="38"/>
      <c r="P87" s="38"/>
      <c r="Q87" s="38"/>
      <c r="R87" s="203"/>
      <c r="S87" s="203"/>
      <c r="T87" s="203"/>
      <c r="U87" s="203"/>
      <c r="V87" s="38"/>
      <c r="W87" s="38"/>
      <c r="X87" s="38"/>
      <c r="Y87" s="38"/>
      <c r="Z87" s="38"/>
      <c r="AA87" s="38"/>
      <c r="AB87" s="38"/>
      <c r="AC87" s="38"/>
      <c r="AD87" s="38"/>
      <c r="AE87" s="38"/>
      <c r="AF87" s="38"/>
      <c r="AG87" s="38"/>
      <c r="AH87" s="38"/>
      <c r="AI87" s="38"/>
      <c r="AJ87" s="38"/>
      <c r="AK87" s="48"/>
      <c r="AL87" s="38"/>
      <c r="AM87" s="38"/>
      <c r="AN87" s="38"/>
      <c r="AO87" s="38"/>
      <c r="AP87" s="38"/>
      <c r="AQ87" s="38"/>
      <c r="AR87" s="38"/>
      <c r="AS87" s="38"/>
      <c r="AT87" s="38"/>
      <c r="AU87" s="48"/>
    </row>
    <row r="88" ht="15.75" customHeight="1">
      <c r="A88" s="33"/>
      <c r="B88" s="38"/>
      <c r="C88" s="48"/>
      <c r="D88" s="38"/>
      <c r="E88" s="48"/>
      <c r="H88" s="38"/>
      <c r="I88" s="38"/>
      <c r="J88" s="38"/>
      <c r="K88" s="38"/>
      <c r="L88" s="38"/>
      <c r="M88" s="38"/>
      <c r="N88" s="38"/>
      <c r="O88" s="38"/>
      <c r="P88" s="38"/>
      <c r="Q88" s="38"/>
      <c r="R88" s="203"/>
      <c r="S88" s="203"/>
      <c r="T88" s="203"/>
      <c r="U88" s="203"/>
      <c r="V88" s="38"/>
      <c r="W88" s="38"/>
      <c r="X88" s="38"/>
      <c r="Y88" s="38"/>
      <c r="Z88" s="38"/>
      <c r="AA88" s="38"/>
      <c r="AB88" s="38"/>
      <c r="AC88" s="38"/>
      <c r="AD88" s="38"/>
      <c r="AE88" s="38"/>
      <c r="AF88" s="38"/>
      <c r="AG88" s="38"/>
      <c r="AH88" s="38"/>
      <c r="AI88" s="38"/>
      <c r="AJ88" s="38"/>
      <c r="AK88" s="48"/>
      <c r="AL88" s="38"/>
      <c r="AM88" s="38"/>
      <c r="AN88" s="38"/>
      <c r="AO88" s="38"/>
      <c r="AP88" s="38"/>
      <c r="AQ88" s="38"/>
      <c r="AR88" s="38"/>
      <c r="AS88" s="38"/>
      <c r="AT88" s="38"/>
      <c r="AU88" s="48"/>
    </row>
    <row r="89" ht="15.75" customHeight="1">
      <c r="A89" s="170" t="s">
        <v>2068</v>
      </c>
      <c r="B89" s="38">
        <v>1.0</v>
      </c>
      <c r="C89" s="48"/>
      <c r="D89" s="173" t="s">
        <v>305</v>
      </c>
      <c r="E89" s="173"/>
      <c r="F89" s="299" t="s">
        <v>2069</v>
      </c>
      <c r="G89" s="180"/>
      <c r="H89" s="180"/>
      <c r="I89" s="180"/>
      <c r="J89" s="38"/>
      <c r="K89" s="235"/>
      <c r="L89" s="38"/>
      <c r="M89" s="299" t="s">
        <v>2070</v>
      </c>
      <c r="N89" s="180"/>
      <c r="O89" s="180"/>
      <c r="P89" s="38"/>
      <c r="Q89" s="38"/>
      <c r="R89" s="203"/>
      <c r="S89" s="203"/>
      <c r="T89" s="203"/>
      <c r="U89" s="203"/>
      <c r="V89" s="299" t="s">
        <v>2071</v>
      </c>
      <c r="W89" s="180"/>
      <c r="X89" s="180"/>
      <c r="Y89" s="180"/>
      <c r="Z89" s="38"/>
      <c r="AA89" s="235"/>
      <c r="AB89" s="38"/>
      <c r="AC89" s="299" t="s">
        <v>2072</v>
      </c>
      <c r="AD89" s="180"/>
      <c r="AE89" s="180"/>
      <c r="AF89" s="38"/>
      <c r="AG89" s="38"/>
      <c r="AH89" s="299" t="s">
        <v>2073</v>
      </c>
      <c r="AI89" s="180"/>
      <c r="AJ89" s="180"/>
      <c r="AK89" s="349"/>
      <c r="AL89" s="230" t="s">
        <v>474</v>
      </c>
      <c r="AM89" s="232"/>
      <c r="AN89" s="232"/>
      <c r="AO89" s="232"/>
      <c r="AP89" s="38"/>
      <c r="AQ89" s="38"/>
      <c r="AR89" s="38"/>
      <c r="AS89" s="38"/>
      <c r="AT89" s="38"/>
      <c r="AU89" s="48"/>
    </row>
    <row r="90" ht="15.75" customHeight="1">
      <c r="A90" s="350" t="s">
        <v>2074</v>
      </c>
      <c r="B90" s="38">
        <v>2.0</v>
      </c>
      <c r="C90" s="48"/>
      <c r="D90" s="38"/>
      <c r="E90" s="48"/>
      <c r="F90" s="7" t="s">
        <v>2075</v>
      </c>
      <c r="G90" s="38"/>
      <c r="I90" s="351"/>
      <c r="J90" s="352" t="s">
        <v>2069</v>
      </c>
      <c r="K90" s="177"/>
      <c r="L90" s="112"/>
      <c r="N90" s="38"/>
      <c r="P90" s="352" t="s">
        <v>2070</v>
      </c>
      <c r="Q90" s="177"/>
      <c r="R90" s="203"/>
      <c r="S90" s="203"/>
      <c r="T90" s="203"/>
      <c r="U90" s="203"/>
      <c r="W90" s="38"/>
      <c r="Y90" s="351"/>
      <c r="Z90" s="352" t="s">
        <v>2071</v>
      </c>
      <c r="AA90" s="177"/>
      <c r="AB90" s="112"/>
      <c r="AD90" s="38"/>
      <c r="AF90" s="352" t="s">
        <v>2072</v>
      </c>
      <c r="AG90" s="177"/>
      <c r="AH90" s="7" t="s">
        <v>1653</v>
      </c>
      <c r="AJ90" s="351"/>
      <c r="AK90" s="300"/>
      <c r="AL90" s="38"/>
      <c r="AM90" s="38"/>
      <c r="AN90" s="38"/>
      <c r="AO90" s="38"/>
      <c r="AP90" s="38"/>
      <c r="AQ90" s="38"/>
      <c r="AR90" s="38"/>
      <c r="AS90" s="38"/>
      <c r="AT90" s="38"/>
      <c r="AU90" s="48"/>
    </row>
    <row r="91" ht="15.75" customHeight="1">
      <c r="B91" s="38">
        <v>3.0</v>
      </c>
      <c r="C91" s="48"/>
      <c r="D91" s="38"/>
      <c r="E91" s="48"/>
      <c r="G91" s="38"/>
      <c r="H91" s="38"/>
      <c r="J91" s="14"/>
      <c r="L91" s="38"/>
      <c r="M91" s="38"/>
      <c r="Q91" s="14"/>
      <c r="R91" s="203"/>
      <c r="S91" s="203"/>
      <c r="T91" s="203"/>
      <c r="U91" s="203"/>
      <c r="AC91" s="14"/>
      <c r="AK91" s="48"/>
      <c r="AL91" s="38"/>
      <c r="AM91" s="38"/>
      <c r="AN91" s="38"/>
      <c r="AO91" s="38"/>
      <c r="AP91" s="38"/>
      <c r="AQ91" s="38"/>
      <c r="AR91" s="38"/>
      <c r="AS91" s="38"/>
      <c r="AT91" s="38"/>
      <c r="AU91" s="48"/>
    </row>
    <row r="92" ht="15.75" customHeight="1">
      <c r="A92" s="33"/>
      <c r="B92" s="38">
        <v>4.0</v>
      </c>
      <c r="C92" s="48"/>
      <c r="D92" s="38"/>
      <c r="E92" s="48"/>
      <c r="F92" s="38"/>
      <c r="R92" s="203"/>
      <c r="S92" s="203"/>
      <c r="T92" s="203"/>
      <c r="U92" s="203"/>
      <c r="AB92" s="38"/>
      <c r="AC92" s="38"/>
      <c r="AD92" s="38"/>
      <c r="AE92" s="38"/>
      <c r="AF92" s="38"/>
      <c r="AG92" s="38"/>
      <c r="AH92" s="38"/>
      <c r="AI92" s="38"/>
      <c r="AJ92" s="38"/>
      <c r="AK92" s="48"/>
      <c r="AL92" s="38"/>
      <c r="AM92" s="38"/>
      <c r="AN92" s="38"/>
      <c r="AO92" s="38"/>
      <c r="AP92" s="38"/>
      <c r="AQ92" s="38"/>
      <c r="AR92" s="38"/>
      <c r="AS92" s="38"/>
      <c r="AT92" s="38"/>
      <c r="AU92" s="48"/>
    </row>
    <row r="93" ht="15.75" customHeight="1">
      <c r="A93" s="33"/>
      <c r="B93" s="38"/>
      <c r="C93" s="48"/>
      <c r="D93" s="38"/>
      <c r="E93" s="48"/>
      <c r="F93" s="38"/>
      <c r="G93" s="38"/>
      <c r="H93" s="38"/>
      <c r="I93" s="38"/>
      <c r="J93" s="38"/>
      <c r="K93" s="38"/>
      <c r="L93" s="38"/>
      <c r="M93" s="38"/>
      <c r="N93" s="38"/>
      <c r="O93" s="38"/>
      <c r="P93" s="38"/>
      <c r="Q93" s="38"/>
      <c r="R93" s="203"/>
      <c r="S93" s="203"/>
      <c r="T93" s="203"/>
      <c r="U93" s="203"/>
      <c r="V93" s="38"/>
      <c r="W93" s="38"/>
      <c r="X93" s="38"/>
      <c r="Y93" s="38"/>
      <c r="Z93" s="38"/>
      <c r="AA93" s="38"/>
      <c r="AB93" s="38"/>
      <c r="AC93" s="38"/>
      <c r="AD93" s="38"/>
      <c r="AE93" s="38"/>
      <c r="AF93" s="38"/>
      <c r="AG93" s="38"/>
      <c r="AH93" s="38"/>
      <c r="AI93" s="38"/>
      <c r="AJ93" s="38"/>
      <c r="AK93" s="48"/>
      <c r="AL93" s="38"/>
      <c r="AM93" s="38"/>
      <c r="AN93" s="38"/>
      <c r="AO93" s="38"/>
      <c r="AP93" s="38"/>
      <c r="AQ93" s="38"/>
      <c r="AR93" s="38"/>
      <c r="AS93" s="38"/>
      <c r="AT93" s="38"/>
      <c r="AU93" s="48"/>
    </row>
    <row r="94" ht="15.75" customHeight="1">
      <c r="A94" s="170" t="s">
        <v>2078</v>
      </c>
      <c r="B94" s="38">
        <v>1.0</v>
      </c>
      <c r="C94" s="48"/>
      <c r="D94" s="173" t="s">
        <v>305</v>
      </c>
      <c r="E94" s="173"/>
      <c r="F94" s="299" t="s">
        <v>2079</v>
      </c>
      <c r="G94" s="180"/>
      <c r="H94" s="180"/>
      <c r="I94" s="180"/>
      <c r="J94" s="38"/>
      <c r="K94" s="235"/>
      <c r="L94" s="38"/>
      <c r="M94" s="299" t="s">
        <v>2080</v>
      </c>
      <c r="N94" s="180"/>
      <c r="O94" s="180"/>
      <c r="P94" s="38"/>
      <c r="Q94" s="38"/>
      <c r="R94" s="203"/>
      <c r="S94" s="203"/>
      <c r="T94" s="203"/>
      <c r="U94" s="203"/>
      <c r="V94" s="299" t="s">
        <v>2081</v>
      </c>
      <c r="W94" s="180"/>
      <c r="X94" s="180"/>
      <c r="Y94" s="180"/>
      <c r="Z94" s="38"/>
      <c r="AA94" s="235"/>
      <c r="AB94" s="38"/>
      <c r="AC94" s="299" t="s">
        <v>2082</v>
      </c>
      <c r="AD94" s="180"/>
      <c r="AE94" s="180"/>
      <c r="AF94" s="38"/>
      <c r="AG94" s="38"/>
      <c r="AH94" s="299" t="s">
        <v>2083</v>
      </c>
      <c r="AI94" s="180"/>
      <c r="AJ94" s="180"/>
      <c r="AK94" s="349"/>
      <c r="AL94" s="38"/>
      <c r="AM94" s="38"/>
      <c r="AN94" s="38"/>
      <c r="AO94" s="38"/>
      <c r="AP94" s="38"/>
      <c r="AQ94" s="38"/>
      <c r="AR94" s="38"/>
      <c r="AS94" s="38"/>
      <c r="AT94" s="38"/>
      <c r="AU94" s="48"/>
    </row>
    <row r="95" ht="15.75" customHeight="1">
      <c r="A95" s="350" t="s">
        <v>2084</v>
      </c>
      <c r="B95" s="38">
        <v>2.0</v>
      </c>
      <c r="C95" s="48"/>
      <c r="D95" s="38"/>
      <c r="E95" s="48"/>
      <c r="F95" s="7" t="s">
        <v>2085</v>
      </c>
      <c r="G95" s="38"/>
      <c r="I95" s="351"/>
      <c r="J95" s="352" t="s">
        <v>2079</v>
      </c>
      <c r="K95" s="177"/>
      <c r="L95" s="112"/>
      <c r="N95" s="38"/>
      <c r="P95" s="352" t="s">
        <v>2080</v>
      </c>
      <c r="Q95" s="177"/>
      <c r="R95" s="203"/>
      <c r="S95" s="203"/>
      <c r="T95" s="203"/>
      <c r="U95" s="203"/>
      <c r="W95" s="38"/>
      <c r="Y95" s="351"/>
      <c r="Z95" s="352" t="s">
        <v>2081</v>
      </c>
      <c r="AA95" s="177"/>
      <c r="AB95" s="112"/>
      <c r="AD95" s="38"/>
      <c r="AF95" s="352" t="s">
        <v>2082</v>
      </c>
      <c r="AG95" s="177"/>
      <c r="AJ95" s="351"/>
      <c r="AK95" s="300"/>
      <c r="AL95" s="38"/>
      <c r="AM95" s="38"/>
      <c r="AN95" s="38"/>
      <c r="AO95" s="38"/>
      <c r="AP95" s="38"/>
      <c r="AQ95" s="38"/>
      <c r="AR95" s="38"/>
      <c r="AS95" s="38"/>
      <c r="AT95" s="38"/>
      <c r="AU95" s="48"/>
    </row>
    <row r="96" ht="15.75" customHeight="1">
      <c r="A96" s="33"/>
      <c r="B96" s="38">
        <v>3.0</v>
      </c>
      <c r="C96" s="48"/>
      <c r="D96" s="38"/>
      <c r="E96" s="48"/>
      <c r="F96" s="38"/>
      <c r="J96" s="38"/>
      <c r="R96" s="203"/>
      <c r="S96" s="203"/>
      <c r="T96" s="203"/>
      <c r="U96" s="203"/>
      <c r="Z96" s="38"/>
      <c r="AA96" s="38"/>
      <c r="AB96" s="38"/>
      <c r="AC96" s="38"/>
      <c r="AD96" s="38"/>
      <c r="AE96" s="38"/>
      <c r="AF96" s="38"/>
      <c r="AG96" s="38"/>
      <c r="AH96" s="38"/>
      <c r="AI96" s="38"/>
      <c r="AJ96" s="38"/>
      <c r="AK96" s="48"/>
      <c r="AL96" s="38"/>
      <c r="AM96" s="38"/>
      <c r="AN96" s="38"/>
      <c r="AO96" s="38"/>
      <c r="AP96" s="38"/>
      <c r="AQ96" s="38"/>
      <c r="AR96" s="38"/>
      <c r="AS96" s="38"/>
      <c r="AT96" s="38"/>
      <c r="AU96" s="48"/>
    </row>
    <row r="97" ht="15.75" customHeight="1">
      <c r="B97" s="38">
        <v>4.0</v>
      </c>
      <c r="C97" s="48"/>
      <c r="D97" s="38"/>
      <c r="E97" s="48"/>
      <c r="F97" s="38"/>
      <c r="G97" s="38"/>
      <c r="H97" s="38"/>
      <c r="K97" s="38"/>
      <c r="L97" s="235"/>
      <c r="R97" s="203"/>
      <c r="S97" s="203"/>
      <c r="T97" s="203"/>
      <c r="U97" s="203"/>
      <c r="V97" s="38"/>
      <c r="W97" s="38"/>
      <c r="X97" s="38"/>
      <c r="Y97" s="38"/>
      <c r="Z97" s="38"/>
      <c r="AA97" s="38"/>
      <c r="AB97" s="38"/>
      <c r="AC97" s="38"/>
      <c r="AD97" s="38"/>
      <c r="AE97" s="38"/>
      <c r="AF97" s="38"/>
      <c r="AG97" s="38"/>
      <c r="AH97" s="38"/>
      <c r="AI97" s="38"/>
      <c r="AJ97" s="38"/>
      <c r="AK97" s="48"/>
      <c r="AL97" s="38"/>
      <c r="AM97" s="38"/>
      <c r="AN97" s="38"/>
      <c r="AO97" s="38"/>
      <c r="AP97" s="38"/>
      <c r="AQ97" s="38"/>
      <c r="AR97" s="38"/>
      <c r="AS97" s="38"/>
      <c r="AT97" s="38"/>
      <c r="AU97" s="48"/>
    </row>
    <row r="98" ht="15.75" customHeight="1">
      <c r="A98" s="33"/>
      <c r="B98" s="38">
        <v>5.0</v>
      </c>
      <c r="C98" s="48"/>
      <c r="D98" s="38"/>
      <c r="E98" s="48"/>
      <c r="F98" s="38"/>
      <c r="G98" s="38"/>
      <c r="M98" s="38"/>
      <c r="N98" s="235"/>
      <c r="R98" s="203"/>
      <c r="S98" s="203"/>
      <c r="T98" s="203"/>
      <c r="U98" s="203"/>
      <c r="V98" s="38"/>
      <c r="W98" s="38"/>
      <c r="X98" s="38"/>
      <c r="Y98" s="38"/>
      <c r="Z98" s="38"/>
      <c r="AA98" s="38"/>
      <c r="AB98" s="38"/>
      <c r="AC98" s="38"/>
      <c r="AD98" s="38"/>
      <c r="AE98" s="38"/>
      <c r="AF98" s="38"/>
      <c r="AG98" s="38"/>
      <c r="AH98" s="38"/>
      <c r="AI98" s="38"/>
      <c r="AJ98" s="38"/>
      <c r="AK98" s="48"/>
      <c r="AL98" s="38"/>
      <c r="AM98" s="38"/>
      <c r="AN98" s="38"/>
      <c r="AO98" s="38"/>
      <c r="AP98" s="38"/>
      <c r="AQ98" s="38"/>
      <c r="AR98" s="38"/>
      <c r="AS98" s="38"/>
      <c r="AT98" s="38"/>
      <c r="AU98" s="48"/>
    </row>
    <row r="99" ht="15.75" customHeight="1">
      <c r="A99" s="33"/>
      <c r="B99" s="38">
        <v>6.0</v>
      </c>
      <c r="C99" s="48"/>
      <c r="D99" s="38"/>
      <c r="E99" s="48"/>
      <c r="O99" s="38"/>
      <c r="P99" s="235"/>
      <c r="Q99" s="235"/>
      <c r="R99" s="203"/>
      <c r="S99" s="203"/>
      <c r="T99" s="203"/>
      <c r="U99" s="203"/>
      <c r="V99" s="38"/>
      <c r="W99" s="38"/>
      <c r="X99" s="38"/>
      <c r="Y99" s="38"/>
      <c r="Z99" s="38"/>
      <c r="AA99" s="38"/>
      <c r="AB99" s="38"/>
      <c r="AC99" s="38"/>
      <c r="AD99" s="38"/>
      <c r="AE99" s="38"/>
      <c r="AF99" s="38"/>
      <c r="AG99" s="38"/>
      <c r="AH99" s="38"/>
      <c r="AI99" s="38"/>
      <c r="AJ99" s="38"/>
      <c r="AK99" s="48"/>
      <c r="AL99" s="38"/>
      <c r="AM99" s="38"/>
      <c r="AN99" s="38"/>
      <c r="AO99" s="38"/>
      <c r="AP99" s="38"/>
      <c r="AQ99" s="38"/>
      <c r="AR99" s="38"/>
      <c r="AS99" s="38"/>
      <c r="AT99" s="38"/>
      <c r="AU99" s="48"/>
    </row>
    <row r="100" ht="15.75" customHeight="1">
      <c r="A100" s="33"/>
      <c r="B100" s="38"/>
      <c r="C100" s="48"/>
      <c r="D100" s="38"/>
      <c r="E100" s="48"/>
      <c r="F100" s="38"/>
      <c r="G100" s="38"/>
      <c r="H100" s="38"/>
      <c r="I100" s="38"/>
      <c r="J100" s="38"/>
      <c r="K100" s="38"/>
      <c r="L100" s="38"/>
      <c r="M100" s="38"/>
      <c r="N100" s="38"/>
      <c r="O100" s="38"/>
      <c r="P100" s="38"/>
      <c r="Q100" s="38"/>
      <c r="R100" s="203"/>
      <c r="S100" s="203"/>
      <c r="T100" s="203"/>
      <c r="U100" s="203"/>
      <c r="V100" s="38"/>
      <c r="W100" s="38"/>
      <c r="X100" s="38"/>
      <c r="Y100" s="38"/>
      <c r="Z100" s="38"/>
      <c r="AA100" s="38"/>
      <c r="AB100" s="38"/>
      <c r="AC100" s="38"/>
      <c r="AD100" s="38"/>
      <c r="AE100" s="38"/>
      <c r="AF100" s="38"/>
      <c r="AG100" s="38"/>
      <c r="AH100" s="38"/>
      <c r="AI100" s="38"/>
      <c r="AJ100" s="38"/>
      <c r="AK100" s="48"/>
      <c r="AL100" s="38"/>
      <c r="AM100" s="38"/>
      <c r="AN100" s="38"/>
      <c r="AO100" s="38"/>
      <c r="AP100" s="38"/>
      <c r="AQ100" s="38"/>
      <c r="AR100" s="38"/>
      <c r="AS100" s="38"/>
      <c r="AT100" s="38"/>
      <c r="AU100" s="48"/>
    </row>
    <row r="101" ht="15.75" customHeight="1">
      <c r="A101" s="170" t="s">
        <v>2088</v>
      </c>
      <c r="B101" s="38">
        <v>1.0</v>
      </c>
      <c r="C101" s="48"/>
      <c r="D101" s="173" t="s">
        <v>305</v>
      </c>
      <c r="E101" s="173"/>
      <c r="F101" s="299" t="s">
        <v>2069</v>
      </c>
      <c r="G101" s="180"/>
      <c r="H101" s="180"/>
      <c r="I101" s="180"/>
      <c r="J101" s="38"/>
      <c r="K101" s="235"/>
      <c r="L101" s="38"/>
      <c r="M101" s="299" t="s">
        <v>2070</v>
      </c>
      <c r="N101" s="180"/>
      <c r="O101" s="180"/>
      <c r="P101" s="38"/>
      <c r="Q101" s="38"/>
      <c r="R101" s="203"/>
      <c r="S101" s="203"/>
      <c r="T101" s="203"/>
      <c r="U101" s="203"/>
      <c r="V101" s="299" t="s">
        <v>2071</v>
      </c>
      <c r="W101" s="180"/>
      <c r="X101" s="180"/>
      <c r="Y101" s="180"/>
      <c r="Z101" s="38"/>
      <c r="AA101" s="235"/>
      <c r="AB101" s="38"/>
      <c r="AC101" s="299" t="s">
        <v>2072</v>
      </c>
      <c r="AD101" s="180"/>
      <c r="AE101" s="180"/>
      <c r="AF101" s="38"/>
      <c r="AG101" s="38"/>
      <c r="AH101" s="299" t="s">
        <v>2073</v>
      </c>
      <c r="AI101" s="180"/>
      <c r="AJ101" s="180"/>
      <c r="AK101" s="349"/>
      <c r="AL101" s="38"/>
      <c r="AM101" s="38"/>
      <c r="AN101" s="38"/>
      <c r="AO101" s="38"/>
      <c r="AP101" s="38"/>
      <c r="AQ101" s="38"/>
      <c r="AR101" s="38"/>
      <c r="AS101" s="38"/>
      <c r="AT101" s="38"/>
      <c r="AU101" s="48"/>
    </row>
    <row r="102" ht="15.75" customHeight="1">
      <c r="A102" s="350" t="s">
        <v>2089</v>
      </c>
      <c r="B102" s="38">
        <v>2.0</v>
      </c>
      <c r="C102" s="48"/>
      <c r="D102" s="38"/>
      <c r="E102" s="48"/>
      <c r="F102" s="7" t="s">
        <v>2075</v>
      </c>
      <c r="G102" s="38"/>
      <c r="I102" s="351"/>
      <c r="J102" s="352" t="s">
        <v>2069</v>
      </c>
      <c r="K102" s="177"/>
      <c r="L102" s="112"/>
      <c r="N102" s="38"/>
      <c r="P102" s="352" t="s">
        <v>2070</v>
      </c>
      <c r="Q102" s="177"/>
      <c r="R102" s="203"/>
      <c r="S102" s="203"/>
      <c r="T102" s="203"/>
      <c r="U102" s="203"/>
      <c r="W102" s="38"/>
      <c r="Y102" s="351"/>
      <c r="Z102" s="352" t="s">
        <v>2071</v>
      </c>
      <c r="AA102" s="177"/>
      <c r="AB102" s="112"/>
      <c r="AD102" s="38"/>
      <c r="AF102" s="352" t="s">
        <v>2072</v>
      </c>
      <c r="AG102" s="177"/>
      <c r="AH102" s="7" t="s">
        <v>1653</v>
      </c>
      <c r="AJ102" s="351"/>
      <c r="AK102" s="300"/>
      <c r="AL102" s="38"/>
      <c r="AM102" s="38"/>
      <c r="AN102" s="38"/>
      <c r="AO102" s="38"/>
      <c r="AP102" s="38"/>
      <c r="AQ102" s="38"/>
      <c r="AR102" s="38"/>
      <c r="AS102" s="38"/>
      <c r="AT102" s="38"/>
      <c r="AU102" s="48"/>
    </row>
    <row r="103" ht="15.75" customHeight="1">
      <c r="A103" s="33"/>
      <c r="B103" s="38">
        <v>3.0</v>
      </c>
      <c r="C103" s="48"/>
      <c r="D103" s="38"/>
      <c r="E103" s="48"/>
      <c r="F103" s="7" t="s">
        <v>1897</v>
      </c>
      <c r="L103" s="14"/>
      <c r="O103" s="38"/>
      <c r="P103" s="38"/>
      <c r="Q103" s="38"/>
      <c r="R103" s="203"/>
      <c r="S103" s="203"/>
      <c r="T103" s="203"/>
      <c r="U103" s="203"/>
      <c r="X103" s="38"/>
      <c r="Y103" s="38"/>
      <c r="Z103" s="38"/>
      <c r="AB103" s="14"/>
      <c r="AC103" s="38"/>
      <c r="AF103" s="38"/>
      <c r="AJ103" s="14"/>
      <c r="AK103" s="38"/>
      <c r="AL103" s="38"/>
      <c r="AM103" s="38"/>
      <c r="AN103" s="38"/>
      <c r="AO103" s="38"/>
      <c r="AP103" s="38"/>
      <c r="AQ103" s="38"/>
      <c r="AR103" s="38"/>
      <c r="AS103" s="38"/>
      <c r="AT103" s="38"/>
      <c r="AU103" s="48"/>
    </row>
    <row r="104" ht="15.75" customHeight="1">
      <c r="B104" s="38">
        <v>4.0</v>
      </c>
      <c r="C104" s="48"/>
      <c r="D104" s="38"/>
      <c r="E104" s="48"/>
      <c r="F104" s="38"/>
      <c r="G104" s="38"/>
      <c r="H104" s="38"/>
      <c r="I104" s="38"/>
      <c r="J104" s="38"/>
      <c r="K104" s="38"/>
      <c r="L104" s="38"/>
      <c r="M104" s="38"/>
      <c r="N104" s="38"/>
      <c r="O104" s="38"/>
      <c r="P104" s="38"/>
      <c r="Q104" s="38"/>
      <c r="R104" s="203"/>
      <c r="S104" s="203"/>
      <c r="T104" s="203"/>
      <c r="U104" s="203"/>
      <c r="V104" s="38"/>
      <c r="W104" s="38"/>
      <c r="X104" s="38"/>
      <c r="Y104" s="38"/>
      <c r="Z104" s="38"/>
      <c r="AA104" s="38"/>
      <c r="AB104" s="38"/>
      <c r="AC104" s="38"/>
      <c r="AD104" s="38"/>
      <c r="AE104" s="38"/>
      <c r="AF104" s="38"/>
      <c r="AG104" s="38"/>
      <c r="AH104" s="38"/>
      <c r="AI104" s="38"/>
      <c r="AJ104" s="38"/>
      <c r="AK104" s="48"/>
      <c r="AL104" s="38"/>
      <c r="AM104" s="38"/>
      <c r="AN104" s="38"/>
      <c r="AO104" s="38"/>
      <c r="AP104" s="38"/>
      <c r="AQ104" s="38"/>
      <c r="AR104" s="38"/>
      <c r="AS104" s="38"/>
      <c r="AT104" s="38"/>
      <c r="AU104" s="48"/>
    </row>
    <row r="105" ht="15.75" customHeight="1">
      <c r="A105" s="33"/>
      <c r="B105" s="38">
        <v>5.0</v>
      </c>
      <c r="C105" s="48"/>
      <c r="D105" s="38"/>
      <c r="E105" s="48"/>
      <c r="F105" s="38"/>
      <c r="G105" s="38"/>
      <c r="H105" s="38"/>
      <c r="I105" s="38"/>
      <c r="J105" s="38"/>
      <c r="K105" s="38"/>
      <c r="L105" s="38"/>
      <c r="M105" s="38"/>
      <c r="N105" s="38"/>
      <c r="O105" s="38"/>
      <c r="P105" s="38"/>
      <c r="Q105" s="38"/>
      <c r="R105" s="203"/>
      <c r="S105" s="203"/>
      <c r="T105" s="203"/>
      <c r="U105" s="203"/>
      <c r="V105" s="38"/>
      <c r="W105" s="38"/>
      <c r="X105" s="38"/>
      <c r="Y105" s="38"/>
      <c r="Z105" s="38"/>
      <c r="AA105" s="38"/>
      <c r="AB105" s="38"/>
      <c r="AC105" s="38"/>
      <c r="AD105" s="38"/>
      <c r="AE105" s="38"/>
      <c r="AF105" s="38"/>
      <c r="AG105" s="38"/>
      <c r="AH105" s="38"/>
      <c r="AI105" s="38"/>
      <c r="AJ105" s="38"/>
      <c r="AK105" s="48"/>
      <c r="AL105" s="38"/>
      <c r="AM105" s="38"/>
      <c r="AN105" s="38"/>
      <c r="AO105" s="38"/>
      <c r="AP105" s="38"/>
      <c r="AQ105" s="38"/>
      <c r="AR105" s="38"/>
      <c r="AS105" s="38"/>
      <c r="AT105" s="38"/>
      <c r="AU105" s="48"/>
    </row>
    <row r="106" ht="15.75" customHeight="1">
      <c r="A106" s="33"/>
      <c r="B106" s="38">
        <v>6.0</v>
      </c>
      <c r="C106" s="48"/>
      <c r="D106" s="38"/>
      <c r="E106" s="48"/>
      <c r="F106" s="38"/>
      <c r="G106" s="38"/>
      <c r="H106" s="38"/>
      <c r="I106" s="38"/>
      <c r="J106" s="38"/>
      <c r="K106" s="38"/>
      <c r="L106" s="38"/>
      <c r="M106" s="38"/>
      <c r="N106" s="38"/>
      <c r="O106" s="38"/>
      <c r="P106" s="38"/>
      <c r="Q106" s="38"/>
      <c r="R106" s="203"/>
      <c r="S106" s="203"/>
      <c r="T106" s="203"/>
      <c r="U106" s="203"/>
      <c r="V106" s="38"/>
      <c r="W106" s="38"/>
      <c r="X106" s="38"/>
      <c r="Y106" s="38"/>
      <c r="Z106" s="38"/>
      <c r="AA106" s="38"/>
      <c r="AB106" s="38"/>
      <c r="AC106" s="38"/>
      <c r="AD106" s="38"/>
      <c r="AE106" s="38"/>
      <c r="AF106" s="38"/>
      <c r="AG106" s="38"/>
      <c r="AH106" s="38"/>
      <c r="AI106" s="38"/>
      <c r="AJ106" s="38"/>
      <c r="AK106" s="48"/>
      <c r="AL106" s="38"/>
      <c r="AM106" s="38"/>
      <c r="AN106" s="38"/>
      <c r="AO106" s="38"/>
      <c r="AP106" s="38"/>
      <c r="AQ106" s="38"/>
      <c r="AR106" s="38"/>
      <c r="AS106" s="38"/>
      <c r="AT106" s="38"/>
      <c r="AU106" s="48"/>
    </row>
    <row r="107" ht="15.75" customHeight="1">
      <c r="A107" s="33"/>
      <c r="B107" s="38"/>
      <c r="C107" s="48"/>
      <c r="D107" s="38"/>
      <c r="E107" s="48"/>
      <c r="F107" s="38"/>
      <c r="G107" s="38"/>
      <c r="H107" s="38"/>
      <c r="I107" s="38"/>
      <c r="J107" s="38"/>
      <c r="K107" s="38"/>
      <c r="L107" s="38"/>
      <c r="M107" s="38"/>
      <c r="N107" s="38"/>
      <c r="O107" s="38"/>
      <c r="P107" s="38"/>
      <c r="Q107" s="38"/>
      <c r="R107" s="203"/>
      <c r="S107" s="203"/>
      <c r="T107" s="203"/>
      <c r="U107" s="203"/>
      <c r="V107" s="38"/>
      <c r="W107" s="38"/>
      <c r="X107" s="38"/>
      <c r="Y107" s="38"/>
      <c r="Z107" s="38"/>
      <c r="AA107" s="38"/>
      <c r="AB107" s="38"/>
      <c r="AC107" s="38"/>
      <c r="AD107" s="38"/>
      <c r="AE107" s="38"/>
      <c r="AF107" s="38"/>
      <c r="AG107" s="38"/>
      <c r="AH107" s="38"/>
      <c r="AI107" s="38"/>
      <c r="AJ107" s="38"/>
      <c r="AK107" s="48"/>
      <c r="AL107" s="38"/>
      <c r="AM107" s="38"/>
      <c r="AN107" s="38"/>
      <c r="AO107" s="38"/>
      <c r="AP107" s="38"/>
      <c r="AQ107" s="38"/>
      <c r="AR107" s="38"/>
      <c r="AS107" s="38"/>
      <c r="AT107" s="38"/>
      <c r="AU107" s="48"/>
    </row>
    <row r="108" ht="15.75" customHeight="1">
      <c r="A108" s="170" t="s">
        <v>2092</v>
      </c>
      <c r="B108" s="38">
        <v>1.0</v>
      </c>
      <c r="C108" s="48"/>
      <c r="D108" s="173" t="s">
        <v>305</v>
      </c>
      <c r="E108" s="173"/>
      <c r="F108" s="299" t="s">
        <v>2093</v>
      </c>
      <c r="G108" s="180"/>
      <c r="H108" s="180"/>
      <c r="I108" s="180"/>
      <c r="M108" s="299" t="s">
        <v>2094</v>
      </c>
      <c r="N108" s="180"/>
      <c r="O108" s="180"/>
      <c r="P108" s="300"/>
      <c r="Q108" s="300"/>
      <c r="R108" s="203"/>
      <c r="S108" s="203"/>
      <c r="T108" s="203"/>
      <c r="U108" s="203"/>
      <c r="V108" s="299" t="s">
        <v>2025</v>
      </c>
      <c r="W108" s="180"/>
      <c r="X108" s="180"/>
      <c r="Y108" s="180"/>
      <c r="AC108" s="299" t="s">
        <v>2095</v>
      </c>
      <c r="AD108" s="180"/>
      <c r="AE108" s="180"/>
      <c r="AF108" s="180"/>
      <c r="AG108" s="180"/>
      <c r="AH108" s="38"/>
      <c r="AI108" s="38"/>
      <c r="AJ108" s="38"/>
      <c r="AK108" s="235"/>
      <c r="AL108" s="38"/>
      <c r="AM108" s="38"/>
      <c r="AN108" s="38"/>
      <c r="AO108" s="38"/>
      <c r="AP108" s="38"/>
      <c r="AQ108" s="38"/>
      <c r="AR108" s="38"/>
      <c r="AS108" s="38"/>
      <c r="AT108" s="38"/>
      <c r="AU108" s="48"/>
    </row>
    <row r="109" ht="15.75" customHeight="1">
      <c r="A109" s="350" t="s">
        <v>2096</v>
      </c>
      <c r="B109" s="38">
        <v>2.0</v>
      </c>
      <c r="C109" s="48"/>
      <c r="D109" s="38"/>
      <c r="E109" s="48"/>
      <c r="F109" s="7" t="s">
        <v>2040</v>
      </c>
      <c r="J109" s="294" t="s">
        <v>2093</v>
      </c>
      <c r="K109" s="177"/>
      <c r="L109" s="177"/>
      <c r="M109" s="7" t="s">
        <v>2097</v>
      </c>
      <c r="P109" s="294" t="s">
        <v>2094</v>
      </c>
      <c r="Q109" s="177"/>
      <c r="R109" s="203"/>
      <c r="S109" s="203"/>
      <c r="T109" s="203"/>
      <c r="U109" s="203"/>
      <c r="V109" s="7" t="s">
        <v>1027</v>
      </c>
      <c r="Z109" s="294" t="s">
        <v>2025</v>
      </c>
      <c r="AA109" s="177"/>
      <c r="AB109" s="177"/>
      <c r="AC109" s="7" t="s">
        <v>2098</v>
      </c>
      <c r="AH109" s="294" t="s">
        <v>2095</v>
      </c>
      <c r="AI109" s="177"/>
      <c r="AJ109" s="309"/>
      <c r="AK109" s="309"/>
      <c r="AL109" s="38"/>
      <c r="AM109" s="38"/>
      <c r="AN109" s="38"/>
      <c r="AO109" s="38"/>
      <c r="AP109" s="38"/>
      <c r="AQ109" s="38"/>
      <c r="AR109" s="38"/>
      <c r="AS109" s="38"/>
      <c r="AT109" s="38"/>
      <c r="AU109" s="48"/>
    </row>
    <row r="110" ht="15.75" customHeight="1">
      <c r="A110" s="33"/>
      <c r="B110" s="38">
        <v>3.0</v>
      </c>
      <c r="C110" s="48"/>
      <c r="D110" s="38"/>
      <c r="E110" s="48"/>
      <c r="F110" s="43" t="s">
        <v>2099</v>
      </c>
      <c r="G110" s="38"/>
      <c r="H110" s="38"/>
      <c r="I110" s="38"/>
      <c r="J110" s="38"/>
      <c r="K110" s="38"/>
      <c r="L110" s="38"/>
      <c r="M110" s="38"/>
      <c r="N110" s="38"/>
      <c r="O110" s="38"/>
      <c r="P110" s="38"/>
      <c r="Q110" s="38"/>
      <c r="R110" s="203"/>
      <c r="S110" s="203"/>
      <c r="T110" s="203"/>
      <c r="U110" s="203"/>
      <c r="AL110" s="38"/>
      <c r="AM110" s="38"/>
      <c r="AN110" s="38"/>
      <c r="AO110" s="38"/>
      <c r="AP110" s="38"/>
      <c r="AQ110" s="38"/>
      <c r="AR110" s="38"/>
      <c r="AS110" s="38"/>
      <c r="AT110" s="38"/>
      <c r="AU110" s="48"/>
    </row>
    <row r="111" ht="15.75" customHeight="1">
      <c r="A111" s="33"/>
      <c r="B111" s="38">
        <v>4.0</v>
      </c>
      <c r="C111" s="48"/>
      <c r="D111" s="38"/>
      <c r="E111" s="48"/>
      <c r="F111" s="38"/>
      <c r="G111" s="38"/>
      <c r="H111" s="38"/>
      <c r="I111" s="38"/>
      <c r="J111" s="38"/>
      <c r="K111" s="38"/>
      <c r="L111" s="38"/>
      <c r="M111" s="38"/>
      <c r="N111" s="38"/>
      <c r="O111" s="38"/>
      <c r="P111" s="38"/>
      <c r="Q111" s="38"/>
      <c r="R111" s="203"/>
      <c r="S111" s="203"/>
      <c r="T111" s="203"/>
      <c r="U111" s="203"/>
      <c r="V111" s="38"/>
      <c r="W111" s="38"/>
      <c r="X111" s="38"/>
      <c r="Y111" s="38"/>
      <c r="Z111" s="38"/>
      <c r="AA111" s="38"/>
      <c r="AB111" s="38"/>
      <c r="AC111" s="38"/>
      <c r="AD111" s="38"/>
      <c r="AE111" s="38"/>
      <c r="AF111" s="38"/>
      <c r="AG111" s="38"/>
      <c r="AH111" s="38"/>
      <c r="AI111" s="38"/>
      <c r="AJ111" s="38"/>
      <c r="AK111" s="48"/>
      <c r="AL111" s="38"/>
      <c r="AM111" s="38"/>
      <c r="AN111" s="38"/>
      <c r="AO111" s="38"/>
      <c r="AP111" s="38"/>
      <c r="AQ111" s="38"/>
      <c r="AR111" s="38"/>
      <c r="AS111" s="38"/>
      <c r="AT111" s="38"/>
      <c r="AU111" s="48"/>
    </row>
    <row r="112" ht="15.75" customHeight="1">
      <c r="A112" s="33"/>
      <c r="B112" s="38">
        <v>5.0</v>
      </c>
      <c r="C112" s="48"/>
      <c r="D112" s="38"/>
      <c r="E112" s="48"/>
      <c r="F112" s="38"/>
      <c r="G112" s="38"/>
      <c r="H112" s="38"/>
      <c r="I112" s="38"/>
      <c r="J112" s="38"/>
      <c r="K112" s="38"/>
      <c r="L112" s="38"/>
      <c r="M112" s="38"/>
      <c r="N112" s="38"/>
      <c r="O112" s="38"/>
      <c r="P112" s="38"/>
      <c r="Q112" s="38"/>
      <c r="R112" s="203"/>
      <c r="S112" s="203"/>
      <c r="T112" s="203"/>
      <c r="U112" s="203"/>
      <c r="V112" s="38"/>
      <c r="W112" s="38"/>
      <c r="X112" s="38"/>
      <c r="Y112" s="38"/>
      <c r="Z112" s="38"/>
      <c r="AA112" s="38"/>
      <c r="AB112" s="38"/>
      <c r="AC112" s="38"/>
      <c r="AD112" s="38"/>
      <c r="AE112" s="38"/>
      <c r="AF112" s="38"/>
      <c r="AG112" s="38"/>
      <c r="AH112" s="38"/>
      <c r="AI112" s="38"/>
      <c r="AJ112" s="38"/>
      <c r="AK112" s="48"/>
      <c r="AL112" s="38"/>
      <c r="AM112" s="38"/>
      <c r="AN112" s="38"/>
      <c r="AO112" s="38"/>
      <c r="AP112" s="38"/>
      <c r="AQ112" s="38"/>
      <c r="AR112" s="38"/>
      <c r="AS112" s="38"/>
      <c r="AT112" s="38"/>
      <c r="AU112" s="48"/>
    </row>
    <row r="113" ht="15.75" customHeight="1">
      <c r="A113" s="33"/>
      <c r="B113" s="38">
        <v>6.0</v>
      </c>
      <c r="C113" s="48"/>
      <c r="D113" s="38"/>
      <c r="E113" s="48"/>
      <c r="F113" s="38"/>
      <c r="G113" s="38"/>
      <c r="H113" s="38"/>
      <c r="I113" s="38"/>
      <c r="J113" s="38"/>
      <c r="K113" s="38"/>
      <c r="L113" s="38"/>
      <c r="M113" s="38"/>
      <c r="N113" s="38"/>
      <c r="O113" s="38"/>
      <c r="P113" s="38"/>
      <c r="Q113" s="38"/>
      <c r="R113" s="203"/>
      <c r="S113" s="203"/>
      <c r="T113" s="203"/>
      <c r="U113" s="203"/>
      <c r="V113" s="38"/>
      <c r="W113" s="38"/>
      <c r="X113" s="38"/>
      <c r="Y113" s="38"/>
      <c r="Z113" s="38"/>
      <c r="AA113" s="38"/>
      <c r="AB113" s="38"/>
      <c r="AC113" s="38"/>
      <c r="AD113" s="38"/>
      <c r="AE113" s="38"/>
      <c r="AF113" s="38"/>
      <c r="AG113" s="38"/>
      <c r="AH113" s="38"/>
      <c r="AI113" s="38"/>
      <c r="AJ113" s="38"/>
      <c r="AK113" s="48"/>
      <c r="AL113" s="38"/>
      <c r="AM113" s="38"/>
      <c r="AN113" s="38"/>
      <c r="AO113" s="38"/>
      <c r="AP113" s="38"/>
      <c r="AQ113" s="38"/>
      <c r="AR113" s="38"/>
      <c r="AS113" s="38"/>
      <c r="AT113" s="38"/>
      <c r="AU113" s="48"/>
    </row>
    <row r="114" ht="15.75" customHeight="1">
      <c r="A114" s="33"/>
      <c r="B114" s="38"/>
      <c r="C114" s="48"/>
      <c r="D114" s="38"/>
      <c r="E114" s="48"/>
      <c r="F114" s="38"/>
      <c r="G114" s="38"/>
      <c r="H114" s="38"/>
      <c r="I114" s="38"/>
      <c r="J114" s="38"/>
      <c r="K114" s="38"/>
      <c r="L114" s="38"/>
      <c r="M114" s="38"/>
      <c r="N114" s="38"/>
      <c r="O114" s="38"/>
      <c r="P114" s="38"/>
      <c r="Q114" s="38"/>
      <c r="R114" s="203"/>
      <c r="S114" s="203"/>
      <c r="T114" s="203"/>
      <c r="U114" s="203"/>
      <c r="V114" s="38"/>
      <c r="W114" s="38"/>
      <c r="X114" s="38"/>
      <c r="Y114" s="38"/>
      <c r="Z114" s="38"/>
      <c r="AA114" s="38"/>
      <c r="AB114" s="38"/>
      <c r="AC114" s="38"/>
      <c r="AD114" s="38"/>
      <c r="AE114" s="38"/>
      <c r="AF114" s="38"/>
      <c r="AG114" s="38"/>
      <c r="AH114" s="38"/>
      <c r="AI114" s="38"/>
      <c r="AJ114" s="38"/>
      <c r="AK114" s="48"/>
      <c r="AL114" s="38"/>
      <c r="AM114" s="38"/>
      <c r="AN114" s="38"/>
      <c r="AO114" s="38"/>
      <c r="AP114" s="38"/>
      <c r="AQ114" s="38"/>
      <c r="AR114" s="38"/>
      <c r="AS114" s="38"/>
      <c r="AT114" s="38"/>
      <c r="AU114" s="48"/>
    </row>
    <row r="115" ht="15.75" customHeight="1">
      <c r="A115" s="170" t="s">
        <v>2103</v>
      </c>
      <c r="B115" s="38">
        <v>1.0</v>
      </c>
      <c r="C115" s="48"/>
      <c r="D115" s="173" t="s">
        <v>305</v>
      </c>
      <c r="E115" s="173"/>
      <c r="F115" s="299" t="s">
        <v>2104</v>
      </c>
      <c r="G115" s="180"/>
      <c r="H115" s="180"/>
      <c r="I115" s="180"/>
      <c r="J115" s="38"/>
      <c r="K115" s="235"/>
      <c r="L115" s="38"/>
      <c r="M115" s="299" t="s">
        <v>2105</v>
      </c>
      <c r="N115" s="180"/>
      <c r="O115" s="180"/>
      <c r="P115" s="38"/>
      <c r="Q115" s="38"/>
      <c r="R115" s="203"/>
      <c r="S115" s="203"/>
      <c r="T115" s="203"/>
      <c r="U115" s="203"/>
      <c r="V115" s="299" t="s">
        <v>2106</v>
      </c>
      <c r="W115" s="180"/>
      <c r="X115" s="180"/>
      <c r="Y115" s="180"/>
      <c r="Z115" s="38"/>
      <c r="AA115" s="235"/>
      <c r="AB115" s="38"/>
      <c r="AC115" s="299" t="s">
        <v>2107</v>
      </c>
      <c r="AD115" s="180"/>
      <c r="AE115" s="180"/>
      <c r="AF115" s="38"/>
      <c r="AG115" s="38"/>
      <c r="AH115" s="299" t="s">
        <v>2108</v>
      </c>
      <c r="AI115" s="180"/>
      <c r="AJ115" s="180"/>
      <c r="AK115" s="349"/>
      <c r="AL115" s="38"/>
      <c r="AM115" s="38"/>
      <c r="AN115" s="38"/>
      <c r="AO115" s="38"/>
      <c r="AP115" s="38"/>
      <c r="AQ115" s="38"/>
      <c r="AR115" s="38"/>
      <c r="AS115" s="38"/>
      <c r="AT115" s="38"/>
      <c r="AU115" s="48"/>
    </row>
    <row r="116" ht="15.75" customHeight="1">
      <c r="A116" s="216" t="s">
        <v>2109</v>
      </c>
      <c r="B116" s="38">
        <v>2.0</v>
      </c>
      <c r="C116" s="48"/>
      <c r="D116" s="38"/>
      <c r="E116" s="48"/>
      <c r="F116" s="7" t="s">
        <v>2040</v>
      </c>
      <c r="G116" s="38"/>
      <c r="I116" s="351"/>
      <c r="J116" s="352" t="s">
        <v>2110</v>
      </c>
      <c r="K116" s="177"/>
      <c r="L116" s="112"/>
      <c r="M116" s="7" t="s">
        <v>2111</v>
      </c>
      <c r="N116" s="38"/>
      <c r="P116" s="352" t="s">
        <v>2105</v>
      </c>
      <c r="Q116" s="177"/>
      <c r="R116" s="203"/>
      <c r="S116" s="203"/>
      <c r="T116" s="203"/>
      <c r="U116" s="203"/>
      <c r="V116" s="7" t="s">
        <v>2097</v>
      </c>
      <c r="W116" s="38"/>
      <c r="Y116" s="351"/>
      <c r="Z116" s="352" t="s">
        <v>2112</v>
      </c>
      <c r="AA116" s="177"/>
      <c r="AB116" s="112"/>
      <c r="AC116" s="7" t="s">
        <v>1998</v>
      </c>
      <c r="AD116" s="38"/>
      <c r="AF116" s="352" t="s">
        <v>2108</v>
      </c>
      <c r="AG116" s="177"/>
      <c r="AJ116" s="351"/>
      <c r="AK116" s="300"/>
      <c r="AL116" s="38"/>
      <c r="AM116" s="38"/>
      <c r="AN116" s="38"/>
      <c r="AO116" s="38"/>
      <c r="AP116" s="38"/>
      <c r="AQ116" s="38"/>
      <c r="AR116" s="38"/>
      <c r="AS116" s="38"/>
      <c r="AT116" s="38"/>
      <c r="AU116" s="48"/>
    </row>
    <row r="117" ht="15.75" customHeight="1">
      <c r="B117" s="38">
        <v>3.0</v>
      </c>
      <c r="C117" s="48"/>
      <c r="D117" s="38"/>
      <c r="E117" s="48"/>
      <c r="G117" s="38"/>
      <c r="H117" s="38"/>
      <c r="I117" s="38"/>
      <c r="J117" s="38"/>
      <c r="K117" s="38"/>
      <c r="L117" s="38"/>
      <c r="M117" s="38"/>
      <c r="N117" s="38"/>
      <c r="O117" s="38"/>
      <c r="P117" s="38"/>
      <c r="Q117" s="38"/>
      <c r="R117" s="203"/>
      <c r="S117" s="203"/>
      <c r="T117" s="203"/>
      <c r="U117" s="203"/>
      <c r="Z117" s="7" t="s">
        <v>2113</v>
      </c>
      <c r="AL117" s="38"/>
      <c r="AM117" s="38"/>
      <c r="AN117" s="38"/>
      <c r="AO117" s="38"/>
      <c r="AP117" s="38"/>
      <c r="AQ117" s="38"/>
      <c r="AR117" s="38"/>
      <c r="AS117" s="38"/>
      <c r="AT117" s="38"/>
      <c r="AU117" s="48"/>
    </row>
    <row r="118" ht="15.75" customHeight="1">
      <c r="B118" s="38">
        <v>4.0</v>
      </c>
      <c r="C118" s="48"/>
      <c r="D118" s="38"/>
      <c r="E118" s="48"/>
      <c r="F118" s="38"/>
      <c r="G118" s="38"/>
      <c r="H118" s="38"/>
      <c r="I118" s="38"/>
      <c r="J118" s="38"/>
      <c r="K118" s="38"/>
      <c r="L118" s="38"/>
      <c r="M118" s="38"/>
      <c r="N118" s="38"/>
      <c r="O118" s="38"/>
      <c r="P118" s="38"/>
      <c r="Q118" s="38"/>
      <c r="R118" s="203"/>
      <c r="S118" s="203"/>
      <c r="T118" s="203"/>
      <c r="U118" s="203"/>
      <c r="V118" s="38"/>
      <c r="W118" s="38"/>
      <c r="X118" s="38"/>
      <c r="Y118" s="38"/>
      <c r="Z118" s="38"/>
      <c r="AA118" s="38"/>
      <c r="AB118" s="38"/>
      <c r="AC118" s="38"/>
      <c r="AD118" s="38"/>
      <c r="AE118" s="38"/>
      <c r="AF118" s="38"/>
      <c r="AG118" s="38"/>
      <c r="AH118" s="38"/>
      <c r="AI118" s="38"/>
      <c r="AJ118" s="38"/>
      <c r="AK118" s="48"/>
      <c r="AL118" s="38"/>
      <c r="AM118" s="38"/>
      <c r="AN118" s="38"/>
      <c r="AO118" s="38"/>
      <c r="AP118" s="38"/>
      <c r="AQ118" s="38"/>
      <c r="AR118" s="38"/>
      <c r="AS118" s="38"/>
      <c r="AT118" s="38"/>
      <c r="AU118" s="48"/>
    </row>
    <row r="119" ht="15.75" customHeight="1">
      <c r="A119" s="47"/>
      <c r="B119" s="38">
        <v>5.0</v>
      </c>
      <c r="C119" s="48"/>
      <c r="D119" s="38"/>
      <c r="E119" s="48"/>
      <c r="F119" s="38"/>
      <c r="G119" s="38"/>
      <c r="H119" s="38"/>
      <c r="I119" s="38"/>
      <c r="J119" s="38"/>
      <c r="K119" s="38"/>
      <c r="L119" s="38"/>
      <c r="M119" s="38"/>
      <c r="N119" s="38"/>
      <c r="O119" s="38"/>
      <c r="P119" s="38"/>
      <c r="Q119" s="38"/>
      <c r="R119" s="203"/>
      <c r="S119" s="203"/>
      <c r="T119" s="203"/>
      <c r="U119" s="203"/>
      <c r="V119" s="38"/>
      <c r="W119" s="38"/>
      <c r="X119" s="38"/>
      <c r="Y119" s="38"/>
      <c r="Z119" s="38"/>
      <c r="AA119" s="38"/>
      <c r="AB119" s="38"/>
      <c r="AC119" s="38"/>
      <c r="AD119" s="38"/>
      <c r="AE119" s="38"/>
      <c r="AF119" s="38"/>
      <c r="AG119" s="38"/>
      <c r="AH119" s="38"/>
      <c r="AI119" s="38"/>
      <c r="AJ119" s="38"/>
      <c r="AK119" s="48"/>
      <c r="AL119" s="38"/>
      <c r="AM119" s="38"/>
      <c r="AN119" s="38"/>
      <c r="AO119" s="38"/>
      <c r="AP119" s="38"/>
      <c r="AQ119" s="38"/>
      <c r="AR119" s="38"/>
      <c r="AS119" s="38"/>
      <c r="AT119" s="38"/>
      <c r="AU119" s="48"/>
    </row>
    <row r="120" ht="15.75" customHeight="1">
      <c r="A120" s="33"/>
      <c r="B120" s="38">
        <v>6.0</v>
      </c>
      <c r="C120" s="48"/>
      <c r="D120" s="38"/>
      <c r="E120" s="48"/>
      <c r="F120" s="38"/>
      <c r="G120" s="38"/>
      <c r="H120" s="38"/>
      <c r="I120" s="38"/>
      <c r="J120" s="38"/>
      <c r="K120" s="38"/>
      <c r="L120" s="38"/>
      <c r="M120" s="38"/>
      <c r="N120" s="38"/>
      <c r="O120" s="38"/>
      <c r="P120" s="38"/>
      <c r="Q120" s="38"/>
      <c r="R120" s="203"/>
      <c r="S120" s="203"/>
      <c r="T120" s="203"/>
      <c r="U120" s="203"/>
      <c r="V120" s="38"/>
      <c r="W120" s="38"/>
      <c r="X120" s="38"/>
      <c r="Y120" s="38"/>
      <c r="Z120" s="38"/>
      <c r="AA120" s="38"/>
      <c r="AB120" s="38"/>
      <c r="AC120" s="38"/>
      <c r="AD120" s="38"/>
      <c r="AE120" s="38"/>
      <c r="AF120" s="38"/>
      <c r="AG120" s="38"/>
      <c r="AH120" s="38"/>
      <c r="AI120" s="38"/>
      <c r="AJ120" s="38"/>
      <c r="AK120" s="48"/>
      <c r="AL120" s="38"/>
      <c r="AM120" s="38"/>
      <c r="AN120" s="38"/>
      <c r="AO120" s="38"/>
      <c r="AP120" s="38"/>
      <c r="AQ120" s="38"/>
      <c r="AR120" s="38"/>
      <c r="AS120" s="38"/>
      <c r="AT120" s="38"/>
      <c r="AU120" s="48"/>
    </row>
    <row r="121" ht="15.75" customHeight="1">
      <c r="A121" s="33"/>
      <c r="B121" s="38">
        <v>7.0</v>
      </c>
      <c r="C121" s="48"/>
      <c r="D121" s="38"/>
      <c r="E121" s="48"/>
      <c r="F121" s="38"/>
      <c r="G121" s="38"/>
      <c r="H121" s="38"/>
      <c r="I121" s="38"/>
      <c r="J121" s="38"/>
      <c r="K121" s="38"/>
      <c r="L121" s="38"/>
      <c r="M121" s="38"/>
      <c r="N121" s="38"/>
      <c r="O121" s="38"/>
      <c r="P121" s="38"/>
      <c r="Q121" s="38"/>
      <c r="R121" s="203"/>
      <c r="S121" s="203"/>
      <c r="T121" s="203"/>
      <c r="U121" s="203"/>
      <c r="V121" s="38"/>
      <c r="W121" s="38"/>
      <c r="X121" s="38"/>
      <c r="Y121" s="38"/>
      <c r="Z121" s="38"/>
      <c r="AA121" s="38"/>
      <c r="AB121" s="38"/>
      <c r="AC121" s="38"/>
      <c r="AD121" s="38"/>
      <c r="AE121" s="38"/>
      <c r="AF121" s="38"/>
      <c r="AG121" s="38"/>
      <c r="AH121" s="38"/>
      <c r="AI121" s="38"/>
      <c r="AJ121" s="38"/>
      <c r="AK121" s="48"/>
      <c r="AL121" s="38"/>
      <c r="AM121" s="38"/>
      <c r="AN121" s="38"/>
      <c r="AO121" s="38"/>
      <c r="AP121" s="38"/>
      <c r="AQ121" s="38"/>
      <c r="AR121" s="38"/>
      <c r="AS121" s="38"/>
      <c r="AT121" s="38"/>
      <c r="AU121" s="48"/>
    </row>
    <row r="122" ht="15.75" customHeight="1">
      <c r="A122" s="33"/>
      <c r="B122" s="38"/>
      <c r="C122" s="48"/>
      <c r="D122" s="38"/>
      <c r="E122" s="48"/>
      <c r="F122" s="38"/>
      <c r="G122" s="38"/>
      <c r="H122" s="38"/>
      <c r="I122" s="38"/>
      <c r="J122" s="38"/>
      <c r="K122" s="38"/>
      <c r="L122" s="38"/>
      <c r="M122" s="38"/>
      <c r="N122" s="38"/>
      <c r="O122" s="38"/>
      <c r="P122" s="38"/>
      <c r="Q122" s="38"/>
      <c r="R122" s="203"/>
      <c r="S122" s="203"/>
      <c r="T122" s="203"/>
      <c r="U122" s="203"/>
      <c r="V122" s="38"/>
      <c r="W122" s="38"/>
      <c r="X122" s="38"/>
      <c r="Y122" s="38"/>
      <c r="Z122" s="38"/>
      <c r="AA122" s="38"/>
      <c r="AB122" s="38"/>
      <c r="AC122" s="38"/>
      <c r="AD122" s="38"/>
      <c r="AE122" s="38"/>
      <c r="AF122" s="38"/>
      <c r="AG122" s="38"/>
      <c r="AH122" s="38"/>
      <c r="AI122" s="38"/>
      <c r="AJ122" s="38"/>
      <c r="AK122" s="48"/>
      <c r="AL122" s="38"/>
      <c r="AM122" s="38"/>
      <c r="AN122" s="38"/>
      <c r="AO122" s="38"/>
      <c r="AP122" s="38"/>
      <c r="AQ122" s="38"/>
      <c r="AR122" s="38"/>
      <c r="AS122" s="38"/>
      <c r="AT122" s="38"/>
      <c r="AU122" s="48"/>
    </row>
    <row r="123" ht="15.75" customHeight="1">
      <c r="A123" s="170" t="s">
        <v>2117</v>
      </c>
      <c r="B123" s="38">
        <v>1.0</v>
      </c>
      <c r="C123" s="48"/>
      <c r="D123" s="173" t="s">
        <v>305</v>
      </c>
      <c r="E123" s="173"/>
      <c r="F123" s="299" t="s">
        <v>1989</v>
      </c>
      <c r="G123" s="180"/>
      <c r="H123" s="180"/>
      <c r="I123" s="180"/>
      <c r="M123" s="299" t="s">
        <v>1990</v>
      </c>
      <c r="N123" s="180"/>
      <c r="O123" s="180"/>
      <c r="P123" s="300"/>
      <c r="Q123" s="300"/>
      <c r="R123" s="203"/>
      <c r="S123" s="203"/>
      <c r="T123" s="203"/>
      <c r="U123" s="203"/>
      <c r="V123" s="299" t="s">
        <v>1991</v>
      </c>
      <c r="W123" s="180"/>
      <c r="X123" s="180"/>
      <c r="Y123" s="180"/>
      <c r="AC123" s="299" t="s">
        <v>1992</v>
      </c>
      <c r="AD123" s="180"/>
      <c r="AE123" s="180"/>
      <c r="AF123" s="180"/>
      <c r="AJ123" s="250"/>
      <c r="AK123" s="48"/>
      <c r="AL123" s="38"/>
      <c r="AM123" s="38"/>
      <c r="AN123" s="38"/>
      <c r="AO123" s="38"/>
      <c r="AP123" s="38"/>
      <c r="AQ123" s="38"/>
      <c r="AR123" s="38"/>
      <c r="AS123" s="38"/>
      <c r="AT123" s="38"/>
      <c r="AU123" s="48"/>
    </row>
    <row r="124" ht="15.75" customHeight="1">
      <c r="A124" s="216" t="s">
        <v>2118</v>
      </c>
      <c r="B124" s="38">
        <v>2.0</v>
      </c>
      <c r="C124" s="48"/>
      <c r="D124" s="38"/>
      <c r="E124" s="48"/>
      <c r="F124" s="7" t="s">
        <v>1995</v>
      </c>
      <c r="J124" s="294" t="s">
        <v>1989</v>
      </c>
      <c r="K124" s="177"/>
      <c r="L124" s="177"/>
      <c r="M124" s="7" t="s">
        <v>1996</v>
      </c>
      <c r="P124" s="294" t="s">
        <v>1997</v>
      </c>
      <c r="Q124" s="177"/>
      <c r="R124" s="203"/>
      <c r="S124" s="203"/>
      <c r="T124" s="203"/>
      <c r="U124" s="203"/>
      <c r="V124" s="7" t="s">
        <v>1998</v>
      </c>
      <c r="Z124" s="294" t="s">
        <v>1999</v>
      </c>
      <c r="AA124" s="177"/>
      <c r="AB124" s="177"/>
      <c r="AC124" s="7" t="s">
        <v>2000</v>
      </c>
      <c r="AG124" s="294" t="s">
        <v>2001</v>
      </c>
      <c r="AH124" s="177"/>
      <c r="AI124" s="177"/>
      <c r="AJ124" s="112"/>
      <c r="AK124" s="309"/>
      <c r="AL124" s="38"/>
      <c r="AM124" s="38"/>
      <c r="AN124" s="38"/>
      <c r="AO124" s="38"/>
      <c r="AP124" s="38"/>
      <c r="AQ124" s="38"/>
      <c r="AR124" s="38"/>
      <c r="AS124" s="38"/>
      <c r="AT124" s="38"/>
      <c r="AU124" s="48"/>
    </row>
    <row r="125" ht="15.75" customHeight="1">
      <c r="A125" s="216" t="s">
        <v>2119</v>
      </c>
      <c r="B125" s="38">
        <v>3.0</v>
      </c>
      <c r="C125" s="48"/>
      <c r="D125" s="38"/>
      <c r="E125" s="48"/>
      <c r="K125" s="14"/>
      <c r="Q125" s="14"/>
      <c r="R125" s="203"/>
      <c r="S125" s="203"/>
      <c r="T125" s="203"/>
      <c r="U125" s="203"/>
      <c r="Z125" s="14"/>
      <c r="AE125" s="14"/>
      <c r="AJ125" s="14"/>
      <c r="AK125" s="48"/>
      <c r="AL125" s="38"/>
      <c r="AM125" s="38"/>
      <c r="AN125" s="38"/>
      <c r="AO125" s="38"/>
      <c r="AP125" s="38"/>
      <c r="AQ125" s="38"/>
      <c r="AR125" s="38"/>
      <c r="AS125" s="38"/>
      <c r="AT125" s="38"/>
      <c r="AU125" s="48"/>
    </row>
    <row r="126" ht="15.75" customHeight="1">
      <c r="A126" s="33"/>
      <c r="B126" s="38">
        <v>4.0</v>
      </c>
      <c r="C126" s="48"/>
      <c r="D126" s="38"/>
      <c r="E126" s="48"/>
      <c r="F126" s="38"/>
      <c r="G126" s="38"/>
      <c r="H126" s="38"/>
      <c r="I126" s="38"/>
      <c r="J126" s="38"/>
      <c r="M126" s="38"/>
      <c r="N126" s="38"/>
      <c r="O126" s="38"/>
      <c r="P126" s="38"/>
      <c r="Q126" s="38"/>
      <c r="R126" s="203"/>
      <c r="S126" s="203"/>
      <c r="T126" s="203"/>
      <c r="U126" s="203"/>
      <c r="V126" s="38"/>
      <c r="W126" s="38"/>
      <c r="X126" s="38"/>
      <c r="Y126" s="38"/>
      <c r="Z126" s="38"/>
      <c r="AC126" s="38"/>
      <c r="AD126" s="38"/>
      <c r="AE126" s="38"/>
      <c r="AF126" s="38"/>
      <c r="AG126" s="38"/>
      <c r="AH126" s="38"/>
      <c r="AI126" s="38"/>
      <c r="AJ126" s="38"/>
      <c r="AK126" s="48"/>
      <c r="AL126" s="38"/>
      <c r="AM126" s="38"/>
      <c r="AN126" s="38"/>
      <c r="AO126" s="38"/>
      <c r="AP126" s="38"/>
      <c r="AQ126" s="38"/>
      <c r="AR126" s="38"/>
      <c r="AS126" s="38"/>
      <c r="AT126" s="38"/>
      <c r="AU126" s="48"/>
    </row>
    <row r="127" ht="15.75" customHeight="1">
      <c r="B127" s="38">
        <v>5.0</v>
      </c>
      <c r="C127" s="48"/>
      <c r="D127" s="38"/>
      <c r="E127" s="48"/>
      <c r="F127" s="38"/>
      <c r="G127" s="38"/>
      <c r="H127" s="38"/>
      <c r="I127" s="38"/>
      <c r="J127" s="38"/>
      <c r="K127" s="38"/>
      <c r="L127" s="38"/>
      <c r="M127" s="38"/>
      <c r="N127" s="38"/>
      <c r="O127" s="38"/>
      <c r="P127" s="38"/>
      <c r="Q127" s="38"/>
      <c r="R127" s="203"/>
      <c r="S127" s="203"/>
      <c r="T127" s="203"/>
      <c r="U127" s="203"/>
      <c r="V127" s="38"/>
      <c r="W127" s="38"/>
      <c r="X127" s="38"/>
      <c r="Y127" s="38"/>
      <c r="Z127" s="38"/>
      <c r="AA127" s="38"/>
      <c r="AB127" s="38"/>
      <c r="AC127" s="38"/>
      <c r="AD127" s="38"/>
      <c r="AE127" s="38"/>
      <c r="AF127" s="38"/>
      <c r="AG127" s="38"/>
      <c r="AH127" s="38"/>
      <c r="AI127" s="38"/>
      <c r="AJ127" s="38"/>
      <c r="AK127" s="48"/>
      <c r="AL127" s="38"/>
      <c r="AM127" s="38"/>
      <c r="AN127" s="38"/>
      <c r="AO127" s="38"/>
      <c r="AP127" s="38"/>
      <c r="AQ127" s="38"/>
      <c r="AR127" s="38"/>
      <c r="AS127" s="38"/>
      <c r="AT127" s="38"/>
      <c r="AU127" s="48"/>
    </row>
    <row r="128" ht="15.75" customHeight="1">
      <c r="B128" s="38"/>
      <c r="C128" s="48"/>
      <c r="D128" s="38"/>
      <c r="E128" s="48"/>
      <c r="F128" s="38"/>
      <c r="G128" s="38"/>
      <c r="H128" s="38"/>
      <c r="I128" s="38"/>
      <c r="J128" s="38"/>
      <c r="K128" s="38"/>
      <c r="L128" s="38"/>
      <c r="M128" s="38"/>
      <c r="N128" s="38"/>
      <c r="O128" s="38"/>
      <c r="P128" s="38"/>
      <c r="Q128" s="38"/>
      <c r="R128" s="203"/>
      <c r="S128" s="203"/>
      <c r="T128" s="203"/>
      <c r="U128" s="203"/>
      <c r="V128" s="38"/>
      <c r="W128" s="38"/>
      <c r="X128" s="38"/>
      <c r="Y128" s="38"/>
      <c r="Z128" s="38"/>
      <c r="AA128" s="38"/>
      <c r="AB128" s="38"/>
      <c r="AC128" s="38"/>
      <c r="AD128" s="38"/>
      <c r="AE128" s="38"/>
      <c r="AF128" s="38"/>
      <c r="AG128" s="38"/>
      <c r="AH128" s="38"/>
      <c r="AI128" s="38"/>
      <c r="AJ128" s="38"/>
      <c r="AK128" s="48"/>
      <c r="AL128" s="38"/>
      <c r="AM128" s="38"/>
      <c r="AN128" s="38"/>
      <c r="AO128" s="38"/>
      <c r="AP128" s="38"/>
      <c r="AQ128" s="38"/>
      <c r="AR128" s="38"/>
      <c r="AS128" s="38"/>
      <c r="AT128" s="38"/>
      <c r="AU128" s="48"/>
    </row>
    <row r="129" ht="15.75" customHeight="1">
      <c r="A129" s="170" t="s">
        <v>2123</v>
      </c>
      <c r="B129" s="38">
        <v>1.0</v>
      </c>
      <c r="C129" s="48"/>
      <c r="D129" s="173" t="s">
        <v>305</v>
      </c>
      <c r="E129" s="173"/>
      <c r="F129" s="299" t="s">
        <v>2015</v>
      </c>
      <c r="G129" s="180"/>
      <c r="H129" s="180"/>
      <c r="I129" s="180"/>
      <c r="M129" s="299" t="s">
        <v>2016</v>
      </c>
      <c r="N129" s="180"/>
      <c r="O129" s="180"/>
      <c r="P129" s="180"/>
      <c r="R129" s="203"/>
      <c r="S129" s="203"/>
      <c r="T129" s="203"/>
      <c r="U129" s="203"/>
      <c r="V129" s="299" t="s">
        <v>2017</v>
      </c>
      <c r="W129" s="180"/>
      <c r="X129" s="180"/>
      <c r="Y129" s="180"/>
      <c r="AC129" s="299" t="s">
        <v>2019</v>
      </c>
      <c r="AD129" s="180"/>
      <c r="AG129" s="299" t="s">
        <v>2020</v>
      </c>
      <c r="AH129" s="180"/>
      <c r="AJ129" s="299" t="s">
        <v>2021</v>
      </c>
      <c r="AK129" s="180"/>
      <c r="AL129" s="38"/>
      <c r="AM129" s="38"/>
      <c r="AN129" s="38"/>
      <c r="AO129" s="38"/>
      <c r="AP129" s="38"/>
      <c r="AQ129" s="38"/>
      <c r="AR129" s="38"/>
      <c r="AS129" s="38"/>
      <c r="AT129" s="38"/>
      <c r="AU129" s="48"/>
    </row>
    <row r="130" ht="15.75" customHeight="1">
      <c r="A130" s="216" t="s">
        <v>2124</v>
      </c>
      <c r="B130" s="38">
        <v>2.0</v>
      </c>
      <c r="C130" s="48"/>
      <c r="D130" s="38"/>
      <c r="E130" s="48"/>
      <c r="F130" s="7" t="s">
        <v>2027</v>
      </c>
      <c r="J130" s="294" t="s">
        <v>2015</v>
      </c>
      <c r="K130" s="177"/>
      <c r="L130" s="177"/>
      <c r="M130" s="7" t="s">
        <v>2028</v>
      </c>
      <c r="Q130" s="294" t="s">
        <v>2016</v>
      </c>
      <c r="R130" s="203"/>
      <c r="S130" s="203"/>
      <c r="T130" s="203"/>
      <c r="U130" s="203"/>
      <c r="V130" s="7" t="s">
        <v>2030</v>
      </c>
      <c r="Z130" s="294" t="s">
        <v>2017</v>
      </c>
      <c r="AA130" s="177"/>
      <c r="AB130" s="177"/>
      <c r="AC130" s="7" t="s">
        <v>1566</v>
      </c>
      <c r="AE130" s="294" t="s">
        <v>2019</v>
      </c>
      <c r="AF130" s="177"/>
      <c r="AI130" s="297" t="s">
        <v>2020</v>
      </c>
      <c r="AJ130" s="7" t="s">
        <v>1996</v>
      </c>
      <c r="AL130" s="38"/>
      <c r="AM130" s="38"/>
      <c r="AN130" s="38"/>
      <c r="AO130" s="38"/>
      <c r="AP130" s="38"/>
      <c r="AQ130" s="38"/>
      <c r="AR130" s="38"/>
      <c r="AS130" s="38"/>
      <c r="AT130" s="38"/>
      <c r="AU130" s="48"/>
    </row>
    <row r="131" ht="15.75" customHeight="1">
      <c r="A131" s="216" t="s">
        <v>2125</v>
      </c>
      <c r="B131" s="38">
        <v>3.0</v>
      </c>
      <c r="C131" s="48"/>
      <c r="D131" s="38"/>
      <c r="E131" s="48"/>
      <c r="F131" s="38"/>
      <c r="G131" s="38"/>
      <c r="H131" s="38"/>
      <c r="I131" s="38"/>
      <c r="J131" s="38"/>
      <c r="K131" s="38"/>
      <c r="L131" s="38"/>
      <c r="M131" s="38"/>
      <c r="N131" s="38"/>
      <c r="O131" s="38"/>
      <c r="P131" s="38"/>
      <c r="Q131" s="38"/>
      <c r="R131" s="203"/>
      <c r="S131" s="203"/>
      <c r="T131" s="203"/>
      <c r="U131" s="203"/>
      <c r="V131" s="38"/>
      <c r="W131" s="38"/>
      <c r="AB131" s="38"/>
      <c r="AC131" s="38"/>
      <c r="AF131" s="38"/>
      <c r="AG131" s="38"/>
      <c r="AJ131" s="38"/>
      <c r="AK131" s="48"/>
      <c r="AL131" s="38"/>
      <c r="AM131" s="38"/>
      <c r="AN131" s="38"/>
      <c r="AO131" s="38"/>
      <c r="AP131" s="38"/>
      <c r="AQ131" s="38"/>
      <c r="AR131" s="38"/>
      <c r="AS131" s="38"/>
      <c r="AT131" s="38"/>
      <c r="AU131" s="48"/>
    </row>
    <row r="132" ht="15.75" customHeight="1">
      <c r="A132" s="216" t="s">
        <v>1588</v>
      </c>
      <c r="B132" s="38">
        <v>4.0</v>
      </c>
      <c r="C132" s="48"/>
      <c r="D132" s="38"/>
      <c r="E132" s="48"/>
      <c r="F132" s="38"/>
      <c r="G132" s="38"/>
      <c r="H132" s="38"/>
      <c r="I132" s="38"/>
      <c r="J132" s="38"/>
      <c r="K132" s="38"/>
      <c r="L132" s="38"/>
      <c r="M132" s="38"/>
      <c r="N132" s="38"/>
      <c r="O132" s="38"/>
      <c r="P132" s="38"/>
      <c r="Q132" s="38"/>
      <c r="R132" s="203"/>
      <c r="S132" s="203"/>
      <c r="T132" s="203"/>
      <c r="U132" s="203"/>
      <c r="V132" s="38"/>
      <c r="W132" s="38"/>
      <c r="AD132" s="38"/>
      <c r="AE132" s="38"/>
      <c r="AH132" s="38"/>
      <c r="AI132" s="38"/>
      <c r="AJ132" s="38"/>
      <c r="AK132" s="48"/>
      <c r="AL132" s="38"/>
      <c r="AM132" s="38"/>
      <c r="AN132" s="38"/>
      <c r="AO132" s="38"/>
      <c r="AP132" s="38"/>
      <c r="AQ132" s="38"/>
      <c r="AR132" s="38"/>
      <c r="AS132" s="38"/>
      <c r="AT132" s="38"/>
      <c r="AU132" s="48"/>
    </row>
    <row r="133" ht="15.75" customHeight="1">
      <c r="A133" s="33"/>
      <c r="B133" s="38">
        <v>5.0</v>
      </c>
      <c r="C133" s="48"/>
      <c r="D133" s="38"/>
      <c r="E133" s="48"/>
      <c r="F133" s="38"/>
      <c r="G133" s="38"/>
      <c r="H133" s="38"/>
      <c r="I133" s="38"/>
      <c r="J133" s="38"/>
      <c r="K133" s="38"/>
      <c r="L133" s="38"/>
      <c r="M133" s="38"/>
      <c r="N133" s="38"/>
      <c r="O133" s="38"/>
      <c r="P133" s="38"/>
      <c r="Q133" s="38"/>
      <c r="R133" s="203"/>
      <c r="S133" s="203"/>
      <c r="T133" s="203"/>
      <c r="U133" s="203"/>
      <c r="V133" s="38"/>
      <c r="W133" s="38"/>
      <c r="X133" s="38"/>
      <c r="Y133" s="38"/>
      <c r="Z133" s="38"/>
      <c r="AA133" s="38"/>
      <c r="AB133" s="38"/>
      <c r="AC133" s="38"/>
      <c r="AD133" s="38"/>
      <c r="AE133" s="38"/>
      <c r="AF133" s="38"/>
      <c r="AG133" s="38"/>
      <c r="AH133" s="38"/>
      <c r="AI133" s="38"/>
      <c r="AJ133" s="38"/>
      <c r="AK133" s="48"/>
      <c r="AL133" s="38"/>
      <c r="AM133" s="38"/>
      <c r="AN133" s="38"/>
      <c r="AO133" s="38"/>
      <c r="AP133" s="38"/>
      <c r="AQ133" s="38"/>
      <c r="AR133" s="38"/>
      <c r="AS133" s="38"/>
      <c r="AT133" s="38"/>
      <c r="AU133" s="48"/>
    </row>
    <row r="134" ht="15.75" customHeight="1">
      <c r="A134" s="33"/>
      <c r="B134" s="38"/>
      <c r="C134" s="48"/>
      <c r="D134" s="38"/>
      <c r="E134" s="48"/>
      <c r="F134" s="38"/>
      <c r="G134" s="38"/>
      <c r="H134" s="38"/>
      <c r="I134" s="38"/>
      <c r="J134" s="38"/>
      <c r="K134" s="38"/>
      <c r="L134" s="38"/>
      <c r="M134" s="38"/>
      <c r="N134" s="38"/>
      <c r="O134" s="38"/>
      <c r="P134" s="38"/>
      <c r="Q134" s="38"/>
      <c r="R134" s="203"/>
      <c r="S134" s="203"/>
      <c r="T134" s="203"/>
      <c r="U134" s="203"/>
      <c r="V134" s="38"/>
      <c r="W134" s="38"/>
      <c r="X134" s="38"/>
      <c r="Y134" s="38"/>
      <c r="Z134" s="38"/>
      <c r="AA134" s="38"/>
      <c r="AB134" s="38"/>
      <c r="AC134" s="38"/>
      <c r="AD134" s="38"/>
      <c r="AE134" s="38"/>
      <c r="AF134" s="38"/>
      <c r="AG134" s="38"/>
      <c r="AH134" s="38"/>
      <c r="AI134" s="38"/>
      <c r="AJ134" s="38"/>
      <c r="AK134" s="48"/>
      <c r="AL134" s="38"/>
      <c r="AM134" s="38"/>
      <c r="AN134" s="38"/>
      <c r="AO134" s="38"/>
      <c r="AP134" s="38"/>
      <c r="AQ134" s="38"/>
      <c r="AR134" s="38"/>
      <c r="AS134" s="38"/>
      <c r="AT134" s="38"/>
      <c r="AU134" s="48"/>
    </row>
    <row r="135" ht="15.75" customHeight="1">
      <c r="A135" s="33"/>
      <c r="B135" s="38"/>
      <c r="C135" s="48"/>
      <c r="D135" s="38"/>
      <c r="E135" s="48"/>
      <c r="F135" s="38"/>
      <c r="G135" s="38"/>
      <c r="H135" s="38"/>
      <c r="I135" s="38"/>
      <c r="J135" s="38"/>
      <c r="K135" s="38"/>
      <c r="L135" s="38"/>
      <c r="M135" s="38"/>
      <c r="N135" s="38"/>
      <c r="O135" s="38"/>
      <c r="P135" s="38"/>
      <c r="Q135" s="38"/>
      <c r="R135" s="203"/>
      <c r="S135" s="203"/>
      <c r="T135" s="203"/>
      <c r="U135" s="203"/>
      <c r="V135" s="38"/>
      <c r="W135" s="38"/>
      <c r="X135" s="38"/>
      <c r="Y135" s="38"/>
      <c r="Z135" s="38"/>
      <c r="AA135" s="38"/>
      <c r="AB135" s="38"/>
      <c r="AC135" s="38"/>
      <c r="AD135" s="38"/>
      <c r="AE135" s="38"/>
      <c r="AF135" s="38"/>
      <c r="AG135" s="38"/>
      <c r="AH135" s="38"/>
      <c r="AI135" s="38"/>
      <c r="AJ135" s="38"/>
      <c r="AK135" s="48"/>
      <c r="AL135" s="38"/>
      <c r="AM135" s="38"/>
      <c r="AN135" s="38"/>
      <c r="AO135" s="38"/>
      <c r="AP135" s="38"/>
      <c r="AQ135" s="38"/>
      <c r="AR135" s="38"/>
      <c r="AS135" s="38"/>
      <c r="AT135" s="38"/>
      <c r="AU135" s="48"/>
    </row>
    <row r="136" ht="15.75" customHeight="1">
      <c r="A136" s="170" t="s">
        <v>2128</v>
      </c>
      <c r="B136" s="38">
        <v>1.0</v>
      </c>
      <c r="C136" s="48"/>
      <c r="D136" s="173" t="s">
        <v>305</v>
      </c>
      <c r="E136" s="173"/>
      <c r="F136" s="299" t="s">
        <v>2110</v>
      </c>
      <c r="G136" s="180"/>
      <c r="H136" s="180"/>
      <c r="I136" s="180"/>
      <c r="J136" s="38"/>
      <c r="K136" s="235"/>
      <c r="L136" s="38"/>
      <c r="M136" s="299" t="s">
        <v>2105</v>
      </c>
      <c r="N136" s="180"/>
      <c r="O136" s="180"/>
      <c r="P136" s="38"/>
      <c r="Q136" s="38"/>
      <c r="R136" s="203"/>
      <c r="S136" s="203"/>
      <c r="T136" s="203"/>
      <c r="U136" s="203"/>
      <c r="V136" s="299" t="s">
        <v>2108</v>
      </c>
      <c r="W136" s="180"/>
      <c r="X136" s="180"/>
      <c r="Y136" s="38"/>
      <c r="Z136" s="38"/>
      <c r="AA136" s="299" t="s">
        <v>2129</v>
      </c>
      <c r="AB136" s="180"/>
      <c r="AC136" s="180"/>
      <c r="AD136" s="180"/>
      <c r="AE136" s="38"/>
      <c r="AF136" s="235"/>
      <c r="AG136" s="38"/>
      <c r="AJ136" s="250"/>
      <c r="AK136" s="48"/>
      <c r="AL136" s="38"/>
      <c r="AM136" s="38"/>
      <c r="AN136" s="38"/>
      <c r="AO136" s="38"/>
      <c r="AP136" s="38"/>
      <c r="AQ136" s="38"/>
      <c r="AR136" s="38"/>
      <c r="AS136" s="38"/>
      <c r="AT136" s="38"/>
      <c r="AU136" s="48"/>
    </row>
    <row r="137" ht="15.75" customHeight="1">
      <c r="A137" s="350" t="s">
        <v>2130</v>
      </c>
      <c r="B137" s="38">
        <v>2.0</v>
      </c>
      <c r="C137" s="48"/>
      <c r="D137" s="38"/>
      <c r="E137" s="48"/>
      <c r="F137" s="7" t="s">
        <v>2132</v>
      </c>
      <c r="G137" s="38"/>
      <c r="I137" s="351"/>
      <c r="J137" s="352" t="s">
        <v>2110</v>
      </c>
      <c r="K137" s="177"/>
      <c r="L137" s="112"/>
      <c r="M137" s="7" t="s">
        <v>2111</v>
      </c>
      <c r="N137" s="38"/>
      <c r="P137" s="352" t="s">
        <v>2105</v>
      </c>
      <c r="Q137" s="177"/>
      <c r="R137" s="203"/>
      <c r="S137" s="203"/>
      <c r="T137" s="203"/>
      <c r="U137" s="203"/>
      <c r="V137" s="7" t="s">
        <v>2133</v>
      </c>
      <c r="W137" s="38"/>
      <c r="Y137" s="352" t="s">
        <v>2108</v>
      </c>
      <c r="Z137" s="177"/>
      <c r="AA137" s="7" t="s">
        <v>2041</v>
      </c>
      <c r="AB137" s="38"/>
      <c r="AD137" s="351"/>
      <c r="AE137" s="352" t="s">
        <v>2129</v>
      </c>
      <c r="AF137" s="177"/>
      <c r="AG137" s="112"/>
      <c r="AH137" s="177"/>
      <c r="AI137" s="177"/>
      <c r="AJ137" s="112"/>
      <c r="AK137" s="309"/>
      <c r="AL137" s="38"/>
      <c r="AM137" s="38"/>
      <c r="AN137" s="38"/>
      <c r="AO137" s="38"/>
      <c r="AP137" s="38"/>
      <c r="AQ137" s="38"/>
      <c r="AR137" s="38"/>
      <c r="AS137" s="38"/>
      <c r="AT137" s="38"/>
      <c r="AU137" s="48"/>
    </row>
    <row r="138" ht="15.75" customHeight="1">
      <c r="B138" s="38">
        <v>3.0</v>
      </c>
      <c r="C138" s="48"/>
      <c r="D138" s="38"/>
      <c r="E138" s="48"/>
      <c r="F138" s="38"/>
      <c r="G138" s="38"/>
      <c r="H138" s="38"/>
      <c r="I138" s="38"/>
      <c r="J138" s="38"/>
      <c r="K138" s="38"/>
      <c r="L138" s="38"/>
      <c r="M138" s="38"/>
      <c r="N138" s="38"/>
      <c r="O138" s="38"/>
      <c r="P138" s="38"/>
      <c r="Q138" s="38"/>
      <c r="R138" s="203"/>
      <c r="S138" s="203"/>
      <c r="T138" s="203"/>
      <c r="U138" s="203"/>
      <c r="V138" s="38"/>
      <c r="W138" s="38"/>
      <c r="X138" s="38"/>
      <c r="Y138" s="38"/>
      <c r="Z138" s="38"/>
      <c r="AA138" s="38"/>
      <c r="AB138" s="38"/>
      <c r="AC138" s="38"/>
      <c r="AD138" s="38"/>
      <c r="AE138" s="38"/>
      <c r="AF138" s="38"/>
      <c r="AG138" s="38"/>
      <c r="AH138" s="38"/>
      <c r="AI138" s="38"/>
      <c r="AJ138" s="38"/>
      <c r="AK138" s="48"/>
      <c r="AL138" s="38"/>
      <c r="AM138" s="38"/>
      <c r="AN138" s="38"/>
      <c r="AO138" s="38"/>
      <c r="AP138" s="38"/>
      <c r="AQ138" s="38"/>
      <c r="AR138" s="38"/>
      <c r="AS138" s="38"/>
      <c r="AT138" s="38"/>
      <c r="AU138" s="48"/>
    </row>
    <row r="139" ht="15.75" customHeight="1">
      <c r="B139" s="38">
        <v>4.0</v>
      </c>
      <c r="C139" s="48"/>
      <c r="D139" s="38"/>
      <c r="E139" s="48"/>
      <c r="F139" s="38"/>
      <c r="G139" s="38"/>
      <c r="H139" s="38"/>
      <c r="I139" s="38"/>
      <c r="J139" s="38"/>
      <c r="K139" s="38"/>
      <c r="L139" s="38"/>
      <c r="M139" s="38"/>
      <c r="N139" s="38"/>
      <c r="O139" s="38"/>
      <c r="P139" s="38"/>
      <c r="Q139" s="38"/>
      <c r="R139" s="203"/>
      <c r="S139" s="203"/>
      <c r="T139" s="203"/>
      <c r="U139" s="203"/>
      <c r="V139" s="38"/>
      <c r="W139" s="38"/>
      <c r="X139" s="38"/>
      <c r="Y139" s="38"/>
      <c r="Z139" s="38"/>
      <c r="AA139" s="38"/>
      <c r="AB139" s="38"/>
      <c r="AC139" s="38"/>
      <c r="AD139" s="38"/>
      <c r="AE139" s="38"/>
      <c r="AF139" s="38"/>
      <c r="AG139" s="38"/>
      <c r="AH139" s="38"/>
      <c r="AI139" s="38"/>
      <c r="AJ139" s="38"/>
      <c r="AK139" s="48"/>
      <c r="AL139" s="38"/>
      <c r="AM139" s="38"/>
      <c r="AN139" s="38"/>
      <c r="AO139" s="38"/>
      <c r="AP139" s="38"/>
      <c r="AQ139" s="38"/>
      <c r="AR139" s="38"/>
      <c r="AS139" s="38"/>
      <c r="AT139" s="38"/>
      <c r="AU139" s="48"/>
    </row>
    <row r="140" ht="15.75" customHeight="1">
      <c r="A140" s="47"/>
      <c r="B140" s="38">
        <v>5.0</v>
      </c>
      <c r="C140" s="48"/>
      <c r="D140" s="38"/>
      <c r="E140" s="48"/>
      <c r="F140" s="38"/>
      <c r="G140" s="38"/>
      <c r="H140" s="38"/>
      <c r="I140" s="38"/>
      <c r="J140" s="38"/>
      <c r="K140" s="38"/>
      <c r="L140" s="38"/>
      <c r="M140" s="38"/>
      <c r="N140" s="38"/>
      <c r="O140" s="38"/>
      <c r="P140" s="38"/>
      <c r="Q140" s="38"/>
      <c r="R140" s="203"/>
      <c r="S140" s="203"/>
      <c r="T140" s="203"/>
      <c r="U140" s="203"/>
      <c r="V140" s="38"/>
      <c r="W140" s="38"/>
      <c r="X140" s="38"/>
      <c r="Y140" s="38"/>
      <c r="Z140" s="38"/>
      <c r="AA140" s="38"/>
      <c r="AB140" s="38"/>
      <c r="AC140" s="38"/>
      <c r="AD140" s="38"/>
      <c r="AE140" s="38"/>
      <c r="AF140" s="38"/>
      <c r="AG140" s="38"/>
      <c r="AH140" s="38"/>
      <c r="AI140" s="38"/>
      <c r="AJ140" s="38"/>
      <c r="AK140" s="48"/>
      <c r="AL140" s="38"/>
      <c r="AM140" s="38"/>
      <c r="AN140" s="38"/>
      <c r="AO140" s="38"/>
      <c r="AP140" s="38"/>
      <c r="AQ140" s="38"/>
      <c r="AR140" s="38"/>
      <c r="AS140" s="38"/>
      <c r="AT140" s="38"/>
      <c r="AU140" s="48"/>
    </row>
    <row r="141" ht="15.75" customHeight="1">
      <c r="A141" s="33"/>
      <c r="B141" s="38">
        <v>7.0</v>
      </c>
      <c r="C141" s="48"/>
      <c r="D141" s="38"/>
      <c r="E141" s="48"/>
      <c r="F141" s="38"/>
      <c r="G141" s="38"/>
      <c r="H141" s="38"/>
      <c r="I141" s="38"/>
      <c r="J141" s="38"/>
      <c r="K141" s="38"/>
      <c r="L141" s="38"/>
      <c r="M141" s="38"/>
      <c r="N141" s="38"/>
      <c r="O141" s="38"/>
      <c r="P141" s="38"/>
      <c r="Q141" s="38"/>
      <c r="R141" s="203"/>
      <c r="S141" s="203"/>
      <c r="T141" s="203"/>
      <c r="U141" s="203"/>
      <c r="V141" s="38"/>
      <c r="W141" s="38"/>
      <c r="X141" s="38"/>
      <c r="Y141" s="38"/>
      <c r="Z141" s="38"/>
      <c r="AA141" s="38"/>
      <c r="AB141" s="38"/>
      <c r="AC141" s="38"/>
      <c r="AD141" s="38"/>
      <c r="AE141" s="38"/>
      <c r="AF141" s="38"/>
      <c r="AG141" s="38"/>
      <c r="AH141" s="38"/>
      <c r="AI141" s="38"/>
      <c r="AJ141" s="38"/>
      <c r="AK141" s="48"/>
      <c r="AL141" s="38"/>
      <c r="AM141" s="38"/>
      <c r="AN141" s="38"/>
      <c r="AO141" s="38"/>
      <c r="AP141" s="38"/>
      <c r="AQ141" s="38"/>
      <c r="AR141" s="38"/>
      <c r="AS141" s="38"/>
      <c r="AT141" s="38"/>
      <c r="AU141" s="48"/>
    </row>
    <row r="142" ht="15.75" customHeight="1">
      <c r="A142" s="33"/>
      <c r="B142" s="38"/>
      <c r="C142" s="48"/>
      <c r="D142" s="38"/>
      <c r="E142" s="48"/>
      <c r="F142" s="38"/>
      <c r="G142" s="38"/>
      <c r="H142" s="38"/>
      <c r="I142" s="38"/>
      <c r="J142" s="38"/>
      <c r="K142" s="38"/>
      <c r="L142" s="38"/>
      <c r="M142" s="38"/>
      <c r="N142" s="38"/>
      <c r="O142" s="38"/>
      <c r="P142" s="38"/>
      <c r="Q142" s="38"/>
      <c r="R142" s="203"/>
      <c r="S142" s="203"/>
      <c r="T142" s="203"/>
      <c r="U142" s="203"/>
      <c r="V142" s="38"/>
      <c r="W142" s="38"/>
      <c r="X142" s="38"/>
      <c r="Y142" s="38"/>
      <c r="Z142" s="38"/>
      <c r="AA142" s="38"/>
      <c r="AB142" s="38"/>
      <c r="AC142" s="38"/>
      <c r="AD142" s="38"/>
      <c r="AE142" s="38"/>
      <c r="AF142" s="38"/>
      <c r="AG142" s="38"/>
      <c r="AH142" s="38"/>
      <c r="AI142" s="38"/>
      <c r="AJ142" s="38"/>
      <c r="AK142" s="48"/>
      <c r="AL142" s="38"/>
      <c r="AM142" s="38"/>
      <c r="AN142" s="38"/>
      <c r="AO142" s="38"/>
      <c r="AP142" s="38"/>
      <c r="AQ142" s="38"/>
      <c r="AR142" s="38"/>
      <c r="AS142" s="38"/>
      <c r="AT142" s="38"/>
      <c r="AU142" s="48"/>
    </row>
    <row r="143" ht="15.75" customHeight="1">
      <c r="A143" s="170" t="s">
        <v>2135</v>
      </c>
      <c r="B143" s="38">
        <v>1.0</v>
      </c>
      <c r="C143" s="48"/>
      <c r="D143" s="173" t="s">
        <v>305</v>
      </c>
      <c r="E143" s="173"/>
      <c r="F143" s="299" t="s">
        <v>2093</v>
      </c>
      <c r="G143" s="180"/>
      <c r="H143" s="180"/>
      <c r="I143" s="180"/>
      <c r="M143" s="299" t="s">
        <v>2094</v>
      </c>
      <c r="N143" s="180"/>
      <c r="O143" s="180"/>
      <c r="P143" s="300"/>
      <c r="Q143" s="300"/>
      <c r="R143" s="203"/>
      <c r="S143" s="203"/>
      <c r="T143" s="203"/>
      <c r="U143" s="203"/>
      <c r="V143" s="299" t="s">
        <v>2108</v>
      </c>
      <c r="W143" s="180"/>
      <c r="X143" s="180"/>
      <c r="Y143" s="38"/>
      <c r="Z143" s="38"/>
      <c r="AA143" s="299" t="s">
        <v>2129</v>
      </c>
      <c r="AB143" s="180"/>
      <c r="AC143" s="180"/>
      <c r="AD143" s="180"/>
      <c r="AE143" s="38"/>
      <c r="AF143" s="235"/>
      <c r="AG143" s="38"/>
      <c r="AJ143" s="250"/>
      <c r="AK143" s="48"/>
      <c r="AL143" s="38"/>
      <c r="AM143" s="38"/>
      <c r="AN143" s="38"/>
      <c r="AO143" s="38"/>
      <c r="AP143" s="38"/>
      <c r="AQ143" s="38"/>
      <c r="AR143" s="38"/>
      <c r="AS143" s="38"/>
      <c r="AT143" s="38"/>
      <c r="AU143" s="48"/>
    </row>
    <row r="144" ht="15.75" customHeight="1">
      <c r="A144" s="350" t="s">
        <v>2137</v>
      </c>
      <c r="B144" s="38">
        <v>2.0</v>
      </c>
      <c r="C144" s="48"/>
      <c r="D144" s="38"/>
      <c r="E144" s="48"/>
      <c r="F144" s="7" t="s">
        <v>2040</v>
      </c>
      <c r="J144" s="294" t="s">
        <v>2093</v>
      </c>
      <c r="K144" s="177"/>
      <c r="L144" s="177"/>
      <c r="M144" s="7" t="s">
        <v>2097</v>
      </c>
      <c r="P144" s="294" t="s">
        <v>2094</v>
      </c>
      <c r="Q144" s="177"/>
      <c r="R144" s="203"/>
      <c r="S144" s="203"/>
      <c r="T144" s="203"/>
      <c r="U144" s="203"/>
      <c r="V144" s="7" t="s">
        <v>2133</v>
      </c>
      <c r="W144" s="38"/>
      <c r="Y144" s="352" t="s">
        <v>2108</v>
      </c>
      <c r="Z144" s="177"/>
      <c r="AA144" s="7" t="s">
        <v>2041</v>
      </c>
      <c r="AB144" s="38"/>
      <c r="AD144" s="351"/>
      <c r="AE144" s="352" t="s">
        <v>2129</v>
      </c>
      <c r="AF144" s="177"/>
      <c r="AG144" s="112"/>
      <c r="AH144" s="177"/>
      <c r="AI144" s="177"/>
      <c r="AJ144" s="112"/>
      <c r="AK144" s="309"/>
      <c r="AL144" s="38"/>
      <c r="AM144" s="38"/>
      <c r="AN144" s="38"/>
      <c r="AO144" s="38"/>
      <c r="AP144" s="38"/>
      <c r="AQ144" s="38"/>
      <c r="AR144" s="38"/>
      <c r="AS144" s="38"/>
      <c r="AT144" s="38"/>
      <c r="AU144" s="48"/>
    </row>
    <row r="145" ht="15.75" customHeight="1">
      <c r="B145" s="38">
        <v>3.0</v>
      </c>
      <c r="C145" s="48"/>
      <c r="D145" s="38"/>
      <c r="E145" s="48"/>
      <c r="F145" s="43" t="s">
        <v>2099</v>
      </c>
      <c r="G145" s="38"/>
      <c r="H145" s="38"/>
      <c r="I145" s="38"/>
      <c r="J145" s="38"/>
      <c r="K145" s="38"/>
      <c r="L145" s="38"/>
      <c r="M145" s="38"/>
      <c r="N145" s="38"/>
      <c r="O145" s="38"/>
      <c r="P145" s="38"/>
      <c r="Q145" s="38"/>
      <c r="R145" s="203"/>
      <c r="S145" s="203"/>
      <c r="T145" s="203"/>
      <c r="U145" s="203"/>
      <c r="V145" s="38"/>
      <c r="W145" s="38"/>
      <c r="X145" s="38"/>
      <c r="Y145" s="38"/>
      <c r="Z145" s="38"/>
      <c r="AA145" s="38"/>
      <c r="AB145" s="38"/>
      <c r="AC145" s="38"/>
      <c r="AD145" s="38"/>
      <c r="AE145" s="38"/>
      <c r="AF145" s="38"/>
      <c r="AG145" s="38"/>
      <c r="AH145" s="38"/>
      <c r="AI145" s="38"/>
      <c r="AJ145" s="38"/>
      <c r="AK145" s="48"/>
      <c r="AL145" s="38"/>
      <c r="AM145" s="38"/>
      <c r="AN145" s="38"/>
      <c r="AO145" s="38"/>
      <c r="AP145" s="38"/>
      <c r="AQ145" s="38"/>
      <c r="AR145" s="38"/>
      <c r="AS145" s="38"/>
      <c r="AT145" s="38"/>
      <c r="AU145" s="48"/>
    </row>
    <row r="146" ht="15.75" customHeight="1">
      <c r="B146" s="38">
        <v>4.0</v>
      </c>
      <c r="C146" s="48"/>
      <c r="D146" s="38"/>
      <c r="E146" s="48"/>
      <c r="F146" s="38"/>
      <c r="G146" s="38"/>
      <c r="H146" s="38"/>
      <c r="I146" s="38"/>
      <c r="J146" s="38"/>
      <c r="K146" s="38"/>
      <c r="L146" s="38"/>
      <c r="M146" s="38"/>
      <c r="N146" s="38"/>
      <c r="O146" s="38"/>
      <c r="P146" s="38"/>
      <c r="Q146" s="38"/>
      <c r="R146" s="203"/>
      <c r="S146" s="203"/>
      <c r="T146" s="203"/>
      <c r="U146" s="203"/>
      <c r="V146" s="38"/>
      <c r="W146" s="38"/>
      <c r="X146" s="38"/>
      <c r="Y146" s="38"/>
      <c r="Z146" s="38"/>
      <c r="AA146" s="38"/>
      <c r="AB146" s="38"/>
      <c r="AC146" s="38"/>
      <c r="AD146" s="38"/>
      <c r="AE146" s="38"/>
      <c r="AF146" s="38"/>
      <c r="AG146" s="38"/>
      <c r="AH146" s="38"/>
      <c r="AI146" s="38"/>
      <c r="AJ146" s="38"/>
      <c r="AK146" s="48"/>
      <c r="AL146" s="38"/>
      <c r="AM146" s="38"/>
      <c r="AN146" s="38"/>
      <c r="AO146" s="38"/>
      <c r="AP146" s="38"/>
      <c r="AQ146" s="38"/>
      <c r="AR146" s="38"/>
      <c r="AS146" s="38"/>
      <c r="AT146" s="38"/>
      <c r="AU146" s="48"/>
    </row>
    <row r="147" ht="15.75" customHeight="1">
      <c r="A147" s="33"/>
      <c r="B147" s="38">
        <v>5.0</v>
      </c>
      <c r="C147" s="48"/>
      <c r="D147" s="38"/>
      <c r="E147" s="48"/>
      <c r="F147" s="38"/>
      <c r="G147" s="38"/>
      <c r="H147" s="38"/>
      <c r="I147" s="38"/>
      <c r="J147" s="38"/>
      <c r="K147" s="38"/>
      <c r="L147" s="38"/>
      <c r="M147" s="38"/>
      <c r="N147" s="38"/>
      <c r="O147" s="38"/>
      <c r="P147" s="38"/>
      <c r="Q147" s="38"/>
      <c r="R147" s="203"/>
      <c r="S147" s="203"/>
      <c r="T147" s="203"/>
      <c r="U147" s="203"/>
      <c r="V147" s="38"/>
      <c r="W147" s="38"/>
      <c r="X147" s="38"/>
      <c r="Y147" s="38"/>
      <c r="Z147" s="38"/>
      <c r="AA147" s="38"/>
      <c r="AB147" s="38"/>
      <c r="AC147" s="38"/>
      <c r="AD147" s="38"/>
      <c r="AE147" s="38"/>
      <c r="AF147" s="38"/>
      <c r="AG147" s="38"/>
      <c r="AH147" s="38"/>
      <c r="AI147" s="38"/>
      <c r="AJ147" s="38"/>
      <c r="AK147" s="48"/>
      <c r="AL147" s="38"/>
      <c r="AM147" s="38"/>
      <c r="AN147" s="38"/>
      <c r="AO147" s="38"/>
      <c r="AP147" s="38"/>
      <c r="AQ147" s="38"/>
      <c r="AR147" s="38"/>
      <c r="AS147" s="38"/>
      <c r="AT147" s="38"/>
      <c r="AU147" s="48"/>
    </row>
    <row r="148" ht="15.75" customHeight="1">
      <c r="A148" s="33"/>
      <c r="B148" s="38">
        <v>6.0</v>
      </c>
      <c r="C148" s="48"/>
      <c r="D148" s="38"/>
      <c r="E148" s="48"/>
      <c r="F148" s="38"/>
      <c r="G148" s="38"/>
      <c r="H148" s="38"/>
      <c r="I148" s="38"/>
      <c r="J148" s="38"/>
      <c r="K148" s="38"/>
      <c r="L148" s="38"/>
      <c r="M148" s="38"/>
      <c r="N148" s="38"/>
      <c r="O148" s="38"/>
      <c r="P148" s="38"/>
      <c r="Q148" s="38"/>
      <c r="R148" s="203"/>
      <c r="S148" s="203"/>
      <c r="T148" s="203"/>
      <c r="U148" s="203"/>
      <c r="V148" s="38"/>
      <c r="W148" s="38"/>
      <c r="X148" s="38"/>
      <c r="Y148" s="38"/>
      <c r="Z148" s="38"/>
      <c r="AA148" s="38"/>
      <c r="AB148" s="38"/>
      <c r="AC148" s="38"/>
      <c r="AD148" s="38"/>
      <c r="AE148" s="38"/>
      <c r="AF148" s="38"/>
      <c r="AG148" s="38"/>
      <c r="AH148" s="38"/>
      <c r="AI148" s="38"/>
      <c r="AJ148" s="38"/>
      <c r="AK148" s="48"/>
      <c r="AL148" s="38"/>
      <c r="AM148" s="38"/>
      <c r="AN148" s="38"/>
      <c r="AO148" s="38"/>
      <c r="AP148" s="38"/>
      <c r="AQ148" s="38"/>
      <c r="AR148" s="38"/>
      <c r="AS148" s="38"/>
      <c r="AT148" s="38"/>
      <c r="AU148" s="48"/>
    </row>
    <row r="149" ht="15.75" customHeight="1">
      <c r="A149" s="33"/>
      <c r="B149" s="38"/>
      <c r="C149" s="48"/>
      <c r="D149" s="38"/>
      <c r="E149" s="48"/>
      <c r="F149" s="38"/>
      <c r="G149" s="38"/>
      <c r="H149" s="38"/>
      <c r="I149" s="38"/>
      <c r="J149" s="38"/>
      <c r="K149" s="38"/>
      <c r="L149" s="38"/>
      <c r="M149" s="38"/>
      <c r="N149" s="38"/>
      <c r="O149" s="38"/>
      <c r="P149" s="38"/>
      <c r="Q149" s="38"/>
      <c r="R149" s="203"/>
      <c r="S149" s="203"/>
      <c r="T149" s="203"/>
      <c r="U149" s="203"/>
      <c r="V149" s="38"/>
      <c r="W149" s="38"/>
      <c r="X149" s="38"/>
      <c r="Y149" s="38"/>
      <c r="Z149" s="38"/>
      <c r="AA149" s="38"/>
      <c r="AB149" s="38"/>
      <c r="AC149" s="38"/>
      <c r="AD149" s="38"/>
      <c r="AE149" s="38"/>
      <c r="AF149" s="38"/>
      <c r="AG149" s="38"/>
      <c r="AH149" s="38"/>
      <c r="AI149" s="38"/>
      <c r="AJ149" s="38"/>
      <c r="AK149" s="48"/>
      <c r="AL149" s="38"/>
      <c r="AM149" s="38"/>
      <c r="AN149" s="38"/>
      <c r="AO149" s="38"/>
      <c r="AP149" s="38"/>
      <c r="AQ149" s="38"/>
      <c r="AR149" s="38"/>
      <c r="AS149" s="38"/>
      <c r="AT149" s="38"/>
      <c r="AU149" s="48"/>
    </row>
    <row r="150" ht="15.75" customHeight="1">
      <c r="A150" s="170" t="s">
        <v>2139</v>
      </c>
      <c r="B150" s="38">
        <v>1.0</v>
      </c>
      <c r="C150" s="48"/>
      <c r="D150" s="173" t="s">
        <v>305</v>
      </c>
      <c r="E150" s="173"/>
      <c r="F150" s="299" t="s">
        <v>2141</v>
      </c>
      <c r="G150" s="180"/>
      <c r="H150" s="180"/>
      <c r="I150" s="180"/>
      <c r="J150" s="38"/>
      <c r="K150" s="235"/>
      <c r="L150" s="38"/>
      <c r="M150" s="299" t="s">
        <v>2142</v>
      </c>
      <c r="N150" s="180"/>
      <c r="O150" s="180"/>
      <c r="P150" s="38"/>
      <c r="Q150" s="38"/>
      <c r="R150" s="203"/>
      <c r="S150" s="203"/>
      <c r="T150" s="203"/>
      <c r="U150" s="203"/>
      <c r="V150" s="299" t="s">
        <v>2143</v>
      </c>
      <c r="W150" s="180"/>
      <c r="X150" s="180"/>
      <c r="Y150" s="180"/>
      <c r="Z150" s="38"/>
      <c r="AA150" s="235"/>
      <c r="AB150" s="38"/>
      <c r="AC150" s="299" t="s">
        <v>2144</v>
      </c>
      <c r="AD150" s="180"/>
      <c r="AE150" s="180"/>
      <c r="AF150" s="38"/>
      <c r="AG150" s="38"/>
      <c r="AH150" s="38"/>
      <c r="AI150" s="38"/>
      <c r="AJ150" s="38"/>
      <c r="AK150" s="48"/>
      <c r="AL150" s="38"/>
      <c r="AM150" s="38"/>
      <c r="AN150" s="38"/>
      <c r="AO150" s="38"/>
      <c r="AP150" s="38"/>
      <c r="AQ150" s="38"/>
      <c r="AR150" s="38"/>
      <c r="AS150" s="38"/>
      <c r="AT150" s="38"/>
      <c r="AU150" s="48"/>
    </row>
    <row r="151" ht="15.75" customHeight="1">
      <c r="A151" s="216" t="s">
        <v>2146</v>
      </c>
      <c r="B151" s="38">
        <v>2.0</v>
      </c>
      <c r="C151" s="48"/>
      <c r="D151" s="38"/>
      <c r="E151" s="48"/>
      <c r="F151" s="43" t="s">
        <v>2099</v>
      </c>
      <c r="G151" s="38"/>
      <c r="I151" s="351"/>
      <c r="J151" s="352" t="s">
        <v>2147</v>
      </c>
      <c r="K151" s="177"/>
      <c r="L151" s="112"/>
      <c r="M151" s="7" t="s">
        <v>2148</v>
      </c>
      <c r="N151" s="38"/>
      <c r="P151" s="352" t="s">
        <v>2149</v>
      </c>
      <c r="Q151" s="112"/>
      <c r="R151" s="203"/>
      <c r="S151" s="203"/>
      <c r="T151" s="203"/>
      <c r="U151" s="203"/>
      <c r="V151" s="7" t="s">
        <v>2150</v>
      </c>
      <c r="W151" s="38"/>
      <c r="Y151" s="351"/>
      <c r="Z151" s="352" t="s">
        <v>2151</v>
      </c>
      <c r="AA151" s="177"/>
      <c r="AB151" s="112"/>
      <c r="AC151" s="7" t="s">
        <v>2152</v>
      </c>
      <c r="AD151" s="38"/>
      <c r="AF151" s="352" t="s">
        <v>2153</v>
      </c>
      <c r="AG151" s="112"/>
      <c r="AH151" s="112"/>
      <c r="AI151" s="112"/>
      <c r="AJ151" s="112"/>
      <c r="AK151" s="309"/>
      <c r="AL151" s="38"/>
      <c r="AM151" s="38"/>
      <c r="AN151" s="38"/>
      <c r="AO151" s="38"/>
      <c r="AP151" s="38"/>
      <c r="AQ151" s="38"/>
      <c r="AR151" s="38"/>
      <c r="AS151" s="38"/>
      <c r="AT151" s="38"/>
      <c r="AU151" s="48"/>
    </row>
    <row r="152" ht="15.75" customHeight="1">
      <c r="B152" s="38">
        <v>3.0</v>
      </c>
      <c r="C152" s="48"/>
      <c r="D152" s="38"/>
      <c r="E152" s="48"/>
      <c r="F152" s="38"/>
      <c r="G152" s="38"/>
      <c r="H152" s="38"/>
      <c r="I152" s="38"/>
      <c r="J152" s="43" t="s">
        <v>2099</v>
      </c>
      <c r="K152" s="38"/>
      <c r="L152" s="38"/>
      <c r="M152" s="38"/>
      <c r="N152" s="38"/>
      <c r="O152" s="38"/>
      <c r="P152" s="38"/>
      <c r="Q152" s="38"/>
      <c r="R152" s="203"/>
      <c r="S152" s="203"/>
      <c r="T152" s="203"/>
      <c r="U152" s="203"/>
      <c r="V152" s="38"/>
      <c r="W152" s="38"/>
      <c r="X152" s="38"/>
      <c r="Y152" s="38"/>
      <c r="Z152" s="38"/>
      <c r="AA152" s="38"/>
      <c r="AB152" s="38"/>
      <c r="AC152" s="38"/>
      <c r="AD152" s="38"/>
      <c r="AE152" s="38"/>
      <c r="AF152" s="38"/>
      <c r="AG152" s="38"/>
      <c r="AH152" s="38"/>
      <c r="AI152" s="38"/>
      <c r="AJ152" s="38"/>
      <c r="AK152" s="48"/>
      <c r="AL152" s="38"/>
      <c r="AM152" s="38"/>
      <c r="AN152" s="38"/>
      <c r="AO152" s="38"/>
      <c r="AP152" s="38"/>
      <c r="AQ152" s="38"/>
      <c r="AR152" s="38"/>
      <c r="AS152" s="38"/>
      <c r="AT152" s="38"/>
      <c r="AU152" s="48"/>
    </row>
    <row r="153" ht="15.75" customHeight="1">
      <c r="B153" s="38">
        <v>4.0</v>
      </c>
      <c r="C153" s="48"/>
      <c r="D153" s="38"/>
      <c r="E153" s="48"/>
      <c r="F153" s="38"/>
      <c r="G153" s="38"/>
      <c r="H153" s="38"/>
      <c r="I153" s="38"/>
      <c r="J153" s="38"/>
      <c r="K153" s="38"/>
      <c r="L153" s="38"/>
      <c r="M153" s="38"/>
      <c r="N153" s="38"/>
      <c r="O153" s="38"/>
      <c r="P153" s="38"/>
      <c r="Q153" s="38"/>
      <c r="R153" s="203"/>
      <c r="S153" s="203"/>
      <c r="T153" s="203"/>
      <c r="U153" s="203"/>
      <c r="V153" s="38"/>
      <c r="W153" s="38"/>
      <c r="X153" s="38"/>
      <c r="Y153" s="38"/>
      <c r="Z153" s="38"/>
      <c r="AA153" s="38"/>
      <c r="AB153" s="38"/>
      <c r="AC153" s="38"/>
      <c r="AD153" s="38"/>
      <c r="AE153" s="38"/>
      <c r="AF153" s="38"/>
      <c r="AG153" s="38"/>
      <c r="AH153" s="38"/>
      <c r="AI153" s="38"/>
      <c r="AJ153" s="38"/>
      <c r="AK153" s="48"/>
      <c r="AL153" s="38"/>
      <c r="AM153" s="38"/>
      <c r="AN153" s="38"/>
      <c r="AO153" s="38"/>
      <c r="AP153" s="38"/>
      <c r="AQ153" s="38"/>
      <c r="AR153" s="38"/>
      <c r="AS153" s="38"/>
      <c r="AT153" s="38"/>
      <c r="AU153" s="48"/>
    </row>
    <row r="154" ht="15.75" customHeight="1">
      <c r="A154" s="33"/>
      <c r="B154" s="38">
        <v>5.0</v>
      </c>
      <c r="C154" s="48"/>
      <c r="D154" s="38"/>
      <c r="E154" s="48"/>
      <c r="F154" s="38"/>
      <c r="G154" s="38"/>
      <c r="H154" s="38"/>
      <c r="I154" s="38"/>
      <c r="J154" s="38"/>
      <c r="K154" s="38"/>
      <c r="L154" s="38"/>
      <c r="M154" s="38"/>
      <c r="N154" s="38"/>
      <c r="O154" s="38"/>
      <c r="P154" s="38"/>
      <c r="Q154" s="38"/>
      <c r="R154" s="203"/>
      <c r="S154" s="203"/>
      <c r="T154" s="203"/>
      <c r="U154" s="203"/>
      <c r="V154" s="38"/>
      <c r="W154" s="38"/>
      <c r="X154" s="38"/>
      <c r="Y154" s="38"/>
      <c r="Z154" s="38"/>
      <c r="AA154" s="38"/>
      <c r="AB154" s="38"/>
      <c r="AC154" s="38"/>
      <c r="AD154" s="38"/>
      <c r="AE154" s="38"/>
      <c r="AF154" s="38"/>
      <c r="AG154" s="38"/>
      <c r="AH154" s="38"/>
      <c r="AI154" s="38"/>
      <c r="AJ154" s="38"/>
      <c r="AK154" s="48"/>
      <c r="AL154" s="38"/>
      <c r="AM154" s="38"/>
      <c r="AN154" s="38"/>
      <c r="AO154" s="38"/>
      <c r="AP154" s="38"/>
      <c r="AQ154" s="38"/>
      <c r="AR154" s="38"/>
      <c r="AS154" s="38"/>
      <c r="AT154" s="38"/>
      <c r="AU154" s="48"/>
    </row>
    <row r="155" ht="15.75" customHeight="1">
      <c r="A155" s="33"/>
      <c r="B155" s="38">
        <v>6.0</v>
      </c>
      <c r="C155" s="48"/>
      <c r="D155" s="38"/>
      <c r="E155" s="48"/>
      <c r="F155" s="38"/>
      <c r="G155" s="38"/>
      <c r="H155" s="38"/>
      <c r="I155" s="38"/>
      <c r="J155" s="38"/>
      <c r="K155" s="38"/>
      <c r="L155" s="38"/>
      <c r="M155" s="38"/>
      <c r="N155" s="38"/>
      <c r="O155" s="38"/>
      <c r="P155" s="38"/>
      <c r="Q155" s="38"/>
      <c r="R155" s="203"/>
      <c r="S155" s="203"/>
      <c r="T155" s="203"/>
      <c r="U155" s="203"/>
      <c r="V155" s="38"/>
      <c r="W155" s="38"/>
      <c r="X155" s="38"/>
      <c r="Y155" s="38"/>
      <c r="Z155" s="38"/>
      <c r="AA155" s="38"/>
      <c r="AB155" s="38"/>
      <c r="AC155" s="38"/>
      <c r="AD155" s="38"/>
      <c r="AE155" s="38"/>
      <c r="AF155" s="38"/>
      <c r="AG155" s="38"/>
      <c r="AH155" s="38"/>
      <c r="AI155" s="38"/>
      <c r="AJ155" s="38"/>
      <c r="AK155" s="48"/>
      <c r="AL155" s="38"/>
      <c r="AM155" s="38"/>
      <c r="AN155" s="38"/>
      <c r="AO155" s="38"/>
      <c r="AP155" s="38"/>
      <c r="AQ155" s="38"/>
      <c r="AR155" s="38"/>
      <c r="AS155" s="38"/>
      <c r="AT155" s="38"/>
      <c r="AU155" s="48"/>
    </row>
    <row r="156" ht="15.75" customHeight="1">
      <c r="A156" s="33"/>
      <c r="B156" s="38"/>
      <c r="C156" s="48"/>
      <c r="D156" s="38"/>
      <c r="E156" s="48"/>
      <c r="F156" s="38"/>
      <c r="G156" s="38"/>
      <c r="H156" s="38"/>
      <c r="I156" s="38"/>
      <c r="J156" s="38"/>
      <c r="K156" s="38"/>
      <c r="L156" s="38"/>
      <c r="M156" s="38"/>
      <c r="N156" s="38"/>
      <c r="O156" s="38"/>
      <c r="P156" s="38"/>
      <c r="Q156" s="38"/>
      <c r="R156" s="203"/>
      <c r="S156" s="203"/>
      <c r="T156" s="203"/>
      <c r="U156" s="203"/>
      <c r="V156" s="38"/>
      <c r="W156" s="38"/>
      <c r="X156" s="38"/>
      <c r="Y156" s="38"/>
      <c r="Z156" s="38"/>
      <c r="AA156" s="38"/>
      <c r="AB156" s="38"/>
      <c r="AC156" s="38"/>
      <c r="AD156" s="38"/>
      <c r="AE156" s="38"/>
      <c r="AF156" s="38"/>
      <c r="AG156" s="38"/>
      <c r="AH156" s="38"/>
      <c r="AI156" s="38"/>
      <c r="AJ156" s="38"/>
      <c r="AK156" s="48"/>
      <c r="AL156" s="38"/>
      <c r="AM156" s="38"/>
      <c r="AN156" s="38"/>
      <c r="AO156" s="38"/>
      <c r="AP156" s="38"/>
      <c r="AQ156" s="38"/>
      <c r="AR156" s="38"/>
      <c r="AS156" s="38"/>
      <c r="AT156" s="38"/>
      <c r="AU156" s="48"/>
    </row>
    <row r="157" ht="15.75" customHeight="1">
      <c r="A157" s="170" t="s">
        <v>2154</v>
      </c>
      <c r="B157" s="38">
        <v>1.0</v>
      </c>
      <c r="C157" s="48"/>
      <c r="D157" s="173" t="s">
        <v>305</v>
      </c>
      <c r="E157" s="173"/>
      <c r="F157" s="299" t="s">
        <v>2093</v>
      </c>
      <c r="G157" s="180"/>
      <c r="H157" s="180"/>
      <c r="I157" s="180"/>
      <c r="M157" s="299" t="s">
        <v>2094</v>
      </c>
      <c r="N157" s="180"/>
      <c r="O157" s="180"/>
      <c r="P157" s="300"/>
      <c r="Q157" s="300"/>
      <c r="R157" s="203"/>
      <c r="S157" s="203"/>
      <c r="T157" s="203"/>
      <c r="U157" s="203"/>
      <c r="V157" s="299" t="s">
        <v>2156</v>
      </c>
      <c r="W157" s="180"/>
      <c r="X157" s="180"/>
      <c r="Y157" s="180"/>
      <c r="AC157" s="299" t="s">
        <v>2157</v>
      </c>
      <c r="AD157" s="180"/>
      <c r="AE157" s="180"/>
      <c r="AF157" s="180"/>
      <c r="AJ157" s="250"/>
      <c r="AK157" s="48"/>
      <c r="AL157" s="38"/>
      <c r="AM157" s="38"/>
      <c r="AN157" s="38"/>
      <c r="AO157" s="38"/>
      <c r="AP157" s="38"/>
      <c r="AQ157" s="38"/>
      <c r="AR157" s="38"/>
      <c r="AS157" s="38"/>
      <c r="AT157" s="38"/>
      <c r="AU157" s="48"/>
    </row>
    <row r="158" ht="15.75" customHeight="1">
      <c r="A158" s="381" t="s">
        <v>2158</v>
      </c>
      <c r="B158" s="38">
        <v>2.0</v>
      </c>
      <c r="C158" s="48"/>
      <c r="D158" s="38"/>
      <c r="E158" s="48"/>
      <c r="F158" s="7" t="s">
        <v>2040</v>
      </c>
      <c r="J158" s="294" t="s">
        <v>2093</v>
      </c>
      <c r="K158" s="177"/>
      <c r="L158" s="177"/>
      <c r="M158" s="7" t="s">
        <v>2097</v>
      </c>
      <c r="P158" s="294" t="s">
        <v>2094</v>
      </c>
      <c r="Q158" s="177"/>
      <c r="R158" s="203"/>
      <c r="S158" s="203"/>
      <c r="T158" s="203"/>
      <c r="U158" s="203"/>
      <c r="V158" s="7" t="s">
        <v>2040</v>
      </c>
      <c r="Z158" s="294" t="s">
        <v>2156</v>
      </c>
      <c r="AA158" s="177"/>
      <c r="AB158" s="177"/>
      <c r="AC158" s="7" t="s">
        <v>1995</v>
      </c>
      <c r="AG158" s="294" t="s">
        <v>2157</v>
      </c>
      <c r="AH158" s="177"/>
      <c r="AI158" s="177"/>
      <c r="AJ158" s="112"/>
      <c r="AK158" s="309"/>
      <c r="AL158" s="38"/>
      <c r="AM158" s="38"/>
      <c r="AN158" s="38"/>
      <c r="AO158" s="38"/>
      <c r="AP158" s="38"/>
      <c r="AQ158" s="38"/>
      <c r="AR158" s="38"/>
      <c r="AS158" s="38"/>
      <c r="AT158" s="38"/>
      <c r="AU158" s="48"/>
    </row>
    <row r="159" ht="15.75" customHeight="1">
      <c r="A159" s="7" t="s">
        <v>2159</v>
      </c>
      <c r="B159" s="38">
        <v>3.0</v>
      </c>
      <c r="C159" s="48"/>
      <c r="D159" s="38"/>
      <c r="E159" s="48"/>
      <c r="F159" s="38"/>
      <c r="G159" s="38"/>
      <c r="H159" s="38"/>
      <c r="I159" s="38"/>
      <c r="J159" s="38"/>
      <c r="K159" s="38"/>
      <c r="L159" s="38"/>
      <c r="M159" s="38"/>
      <c r="N159" s="38"/>
      <c r="O159" s="38"/>
      <c r="P159" s="38"/>
      <c r="Q159" s="38"/>
      <c r="R159" s="203"/>
      <c r="S159" s="203"/>
      <c r="T159" s="203"/>
      <c r="U159" s="203"/>
      <c r="V159" s="38"/>
      <c r="W159" s="38"/>
      <c r="X159" s="38"/>
      <c r="Y159" s="38"/>
      <c r="Z159" s="38"/>
      <c r="AA159" s="38"/>
      <c r="AB159" s="38"/>
      <c r="AC159" s="38"/>
      <c r="AD159" s="38"/>
      <c r="AE159" s="38"/>
      <c r="AF159" s="38"/>
      <c r="AG159" s="38"/>
      <c r="AH159" s="38"/>
      <c r="AI159" s="38"/>
      <c r="AJ159" s="38"/>
      <c r="AK159" s="48"/>
      <c r="AL159" s="38"/>
      <c r="AM159" s="38"/>
      <c r="AN159" s="38"/>
      <c r="AO159" s="38"/>
      <c r="AP159" s="38"/>
      <c r="AQ159" s="38"/>
      <c r="AR159" s="38"/>
      <c r="AS159" s="38"/>
      <c r="AT159" s="38"/>
      <c r="AU159" s="48"/>
    </row>
    <row r="160" ht="15.75" customHeight="1">
      <c r="A160" s="33"/>
      <c r="B160" s="38">
        <v>4.0</v>
      </c>
      <c r="C160" s="48"/>
      <c r="D160" s="38"/>
      <c r="E160" s="48"/>
      <c r="F160" s="38"/>
      <c r="G160" s="38"/>
      <c r="H160" s="38"/>
      <c r="I160" s="38"/>
      <c r="J160" s="38"/>
      <c r="K160" s="38"/>
      <c r="L160" s="38"/>
      <c r="M160" s="38"/>
      <c r="N160" s="38"/>
      <c r="O160" s="38"/>
      <c r="P160" s="38"/>
      <c r="Q160" s="38"/>
      <c r="R160" s="203"/>
      <c r="S160" s="203"/>
      <c r="T160" s="203"/>
      <c r="U160" s="203"/>
      <c r="V160" s="38"/>
      <c r="W160" s="38"/>
      <c r="X160" s="38"/>
      <c r="Y160" s="38"/>
      <c r="Z160" s="38"/>
      <c r="AA160" s="38"/>
      <c r="AB160" s="38"/>
      <c r="AC160" s="38"/>
      <c r="AD160" s="38"/>
      <c r="AE160" s="38"/>
      <c r="AF160" s="38"/>
      <c r="AG160" s="38"/>
      <c r="AH160" s="38"/>
      <c r="AI160" s="38"/>
      <c r="AJ160" s="38"/>
      <c r="AK160" s="48"/>
      <c r="AL160" s="38"/>
      <c r="AM160" s="38"/>
      <c r="AN160" s="38"/>
      <c r="AO160" s="38"/>
      <c r="AP160" s="38"/>
      <c r="AQ160" s="38"/>
      <c r="AR160" s="38"/>
      <c r="AS160" s="38"/>
      <c r="AT160" s="38"/>
      <c r="AU160" s="48"/>
    </row>
    <row r="161" ht="15.75" customHeight="1">
      <c r="A161" s="33"/>
      <c r="B161" s="38">
        <v>5.0</v>
      </c>
      <c r="C161" s="48"/>
      <c r="D161" s="38"/>
      <c r="E161" s="48"/>
      <c r="F161" s="38"/>
      <c r="G161" s="38"/>
      <c r="H161" s="38"/>
      <c r="I161" s="38"/>
      <c r="J161" s="38"/>
      <c r="K161" s="38"/>
      <c r="L161" s="38"/>
      <c r="M161" s="38"/>
      <c r="N161" s="38"/>
      <c r="O161" s="38"/>
      <c r="P161" s="38"/>
      <c r="Q161" s="38"/>
      <c r="R161" s="203"/>
      <c r="S161" s="203"/>
      <c r="T161" s="203"/>
      <c r="U161" s="203"/>
      <c r="V161" s="38"/>
      <c r="W161" s="38"/>
      <c r="X161" s="38"/>
      <c r="Y161" s="38"/>
      <c r="Z161" s="38"/>
      <c r="AA161" s="38"/>
      <c r="AB161" s="38"/>
      <c r="AC161" s="38"/>
      <c r="AD161" s="38"/>
      <c r="AE161" s="38"/>
      <c r="AF161" s="38"/>
      <c r="AG161" s="38"/>
      <c r="AH161" s="38"/>
      <c r="AI161" s="38"/>
      <c r="AJ161" s="38"/>
      <c r="AK161" s="48"/>
      <c r="AL161" s="38"/>
      <c r="AM161" s="38"/>
      <c r="AN161" s="38"/>
      <c r="AO161" s="38"/>
      <c r="AP161" s="38"/>
      <c r="AQ161" s="38"/>
      <c r="AR161" s="38"/>
      <c r="AS161" s="38"/>
      <c r="AT161" s="38"/>
      <c r="AU161" s="48"/>
    </row>
    <row r="162" ht="15.75" customHeight="1">
      <c r="A162" s="33"/>
      <c r="B162" s="38">
        <v>6.0</v>
      </c>
      <c r="C162" s="48"/>
      <c r="D162" s="38"/>
      <c r="E162" s="48"/>
      <c r="F162" s="38"/>
      <c r="G162" s="38"/>
      <c r="H162" s="38"/>
      <c r="I162" s="38"/>
      <c r="J162" s="38"/>
      <c r="K162" s="38"/>
      <c r="L162" s="38"/>
      <c r="M162" s="38"/>
      <c r="N162" s="38"/>
      <c r="O162" s="38"/>
      <c r="P162" s="38"/>
      <c r="Q162" s="38"/>
      <c r="R162" s="203"/>
      <c r="S162" s="203"/>
      <c r="T162" s="203"/>
      <c r="U162" s="203"/>
      <c r="V162" s="38"/>
      <c r="W162" s="38"/>
      <c r="X162" s="38"/>
      <c r="Y162" s="38"/>
      <c r="Z162" s="38"/>
      <c r="AA162" s="38"/>
      <c r="AB162" s="38"/>
      <c r="AC162" s="38"/>
      <c r="AD162" s="38"/>
      <c r="AE162" s="38"/>
      <c r="AF162" s="38"/>
      <c r="AG162" s="38"/>
      <c r="AH162" s="38"/>
      <c r="AI162" s="38"/>
      <c r="AJ162" s="38"/>
      <c r="AK162" s="48"/>
      <c r="AL162" s="38"/>
      <c r="AM162" s="38"/>
      <c r="AN162" s="38"/>
      <c r="AO162" s="38"/>
      <c r="AP162" s="38"/>
      <c r="AQ162" s="38"/>
      <c r="AR162" s="38"/>
      <c r="AS162" s="38"/>
      <c r="AT162" s="38"/>
      <c r="AU162" s="48"/>
    </row>
    <row r="163" ht="15.75" customHeight="1">
      <c r="A163" s="33"/>
      <c r="B163" s="38"/>
      <c r="C163" s="48"/>
      <c r="D163" s="38"/>
      <c r="E163" s="48"/>
      <c r="F163" s="38"/>
      <c r="G163" s="38"/>
      <c r="H163" s="38"/>
      <c r="I163" s="38"/>
      <c r="J163" s="38"/>
      <c r="K163" s="38"/>
      <c r="L163" s="38"/>
      <c r="M163" s="38"/>
      <c r="N163" s="38"/>
      <c r="O163" s="38"/>
      <c r="P163" s="38"/>
      <c r="Q163" s="38"/>
      <c r="R163" s="203"/>
      <c r="S163" s="203"/>
      <c r="T163" s="203"/>
      <c r="U163" s="203"/>
      <c r="V163" s="38"/>
      <c r="W163" s="38"/>
      <c r="X163" s="38"/>
      <c r="Y163" s="38"/>
      <c r="Z163" s="38"/>
      <c r="AA163" s="38"/>
      <c r="AB163" s="38"/>
      <c r="AC163" s="38"/>
      <c r="AD163" s="38"/>
      <c r="AE163" s="38"/>
      <c r="AF163" s="38"/>
      <c r="AG163" s="38"/>
      <c r="AH163" s="38"/>
      <c r="AI163" s="38"/>
      <c r="AJ163" s="38"/>
      <c r="AK163" s="48"/>
      <c r="AL163" s="38"/>
      <c r="AM163" s="38"/>
      <c r="AN163" s="38"/>
      <c r="AO163" s="38"/>
      <c r="AP163" s="38"/>
      <c r="AQ163" s="38"/>
      <c r="AR163" s="38"/>
      <c r="AS163" s="38"/>
      <c r="AT163" s="38"/>
      <c r="AU163" s="48"/>
    </row>
    <row r="164" ht="15.75" customHeight="1">
      <c r="A164" s="33"/>
      <c r="B164" s="38"/>
      <c r="C164" s="48"/>
      <c r="D164" s="38"/>
      <c r="E164" s="48"/>
      <c r="F164" s="38"/>
      <c r="G164" s="38"/>
      <c r="H164" s="38"/>
      <c r="I164" s="38"/>
      <c r="J164" s="38"/>
      <c r="K164" s="38"/>
      <c r="L164" s="38"/>
      <c r="M164" s="38"/>
      <c r="N164" s="38"/>
      <c r="O164" s="38"/>
      <c r="P164" s="38"/>
      <c r="Q164" s="38"/>
      <c r="R164" s="203"/>
      <c r="S164" s="203"/>
      <c r="T164" s="203"/>
      <c r="U164" s="203"/>
      <c r="V164" s="38"/>
      <c r="W164" s="38"/>
      <c r="X164" s="38"/>
      <c r="Y164" s="38"/>
      <c r="Z164" s="38"/>
      <c r="AA164" s="38"/>
      <c r="AB164" s="38"/>
      <c r="AC164" s="38"/>
      <c r="AD164" s="38"/>
      <c r="AE164" s="38"/>
      <c r="AF164" s="38"/>
      <c r="AG164" s="38"/>
      <c r="AH164" s="38"/>
      <c r="AI164" s="38"/>
      <c r="AJ164" s="38"/>
      <c r="AK164" s="48"/>
      <c r="AL164" s="38"/>
      <c r="AM164" s="38"/>
      <c r="AN164" s="38"/>
      <c r="AO164" s="38"/>
      <c r="AP164" s="38"/>
      <c r="AQ164" s="38"/>
      <c r="AR164" s="38"/>
      <c r="AS164" s="38"/>
      <c r="AT164" s="38"/>
      <c r="AU164" s="48"/>
    </row>
    <row r="165" ht="15.75" customHeight="1">
      <c r="A165" s="33"/>
      <c r="B165" s="38"/>
      <c r="C165" s="48"/>
      <c r="D165" s="38"/>
      <c r="E165" s="48"/>
      <c r="F165" s="38"/>
      <c r="G165" s="38"/>
      <c r="H165" s="38"/>
      <c r="I165" s="38"/>
      <c r="J165" s="38"/>
      <c r="K165" s="38"/>
      <c r="L165" s="38"/>
      <c r="M165" s="38"/>
      <c r="N165" s="38"/>
      <c r="O165" s="38"/>
      <c r="P165" s="38"/>
      <c r="Q165" s="38"/>
      <c r="R165" s="203"/>
      <c r="S165" s="203"/>
      <c r="T165" s="203"/>
      <c r="U165" s="203"/>
      <c r="V165" s="38"/>
      <c r="W165" s="38"/>
      <c r="X165" s="38"/>
      <c r="Y165" s="38"/>
      <c r="Z165" s="38"/>
      <c r="AA165" s="38"/>
      <c r="AB165" s="38"/>
      <c r="AC165" s="38"/>
      <c r="AD165" s="38"/>
      <c r="AE165" s="38"/>
      <c r="AF165" s="38"/>
      <c r="AG165" s="38"/>
      <c r="AH165" s="38"/>
      <c r="AI165" s="38"/>
      <c r="AJ165" s="38"/>
      <c r="AK165" s="48"/>
      <c r="AL165" s="38"/>
      <c r="AM165" s="38"/>
      <c r="AN165" s="38"/>
      <c r="AO165" s="38"/>
      <c r="AP165" s="38"/>
      <c r="AQ165" s="38"/>
      <c r="AR165" s="38"/>
      <c r="AS165" s="38"/>
      <c r="AT165" s="38"/>
      <c r="AU165" s="48"/>
    </row>
    <row r="166" ht="15.75" customHeight="1">
      <c r="A166" s="33"/>
      <c r="B166" s="38"/>
      <c r="C166" s="48"/>
      <c r="D166" s="38"/>
      <c r="E166" s="48"/>
      <c r="F166" s="38"/>
      <c r="G166" s="38"/>
      <c r="H166" s="38"/>
      <c r="I166" s="38"/>
      <c r="J166" s="38"/>
      <c r="K166" s="38"/>
      <c r="L166" s="38"/>
      <c r="M166" s="38"/>
      <c r="N166" s="38"/>
      <c r="O166" s="38"/>
      <c r="P166" s="38"/>
      <c r="Q166" s="38"/>
      <c r="R166" s="203"/>
      <c r="S166" s="203"/>
      <c r="T166" s="203"/>
      <c r="U166" s="203"/>
      <c r="V166" s="38"/>
      <c r="W166" s="38"/>
      <c r="X166" s="38"/>
      <c r="Y166" s="38"/>
      <c r="Z166" s="38"/>
      <c r="AA166" s="38"/>
      <c r="AB166" s="38"/>
      <c r="AC166" s="38"/>
      <c r="AD166" s="38"/>
      <c r="AE166" s="38"/>
      <c r="AF166" s="38"/>
      <c r="AG166" s="38"/>
      <c r="AH166" s="38"/>
      <c r="AI166" s="38"/>
      <c r="AJ166" s="38"/>
      <c r="AK166" s="48"/>
      <c r="AL166" s="38"/>
      <c r="AM166" s="38"/>
      <c r="AN166" s="38"/>
      <c r="AO166" s="38"/>
      <c r="AP166" s="38"/>
      <c r="AQ166" s="38"/>
      <c r="AR166" s="38"/>
      <c r="AS166" s="38"/>
      <c r="AT166" s="38"/>
      <c r="AU166" s="48"/>
    </row>
    <row r="167" ht="15.75" customHeight="1">
      <c r="A167" s="33"/>
      <c r="B167" s="38"/>
      <c r="C167" s="48"/>
      <c r="D167" s="38"/>
      <c r="E167" s="48"/>
      <c r="F167" s="38"/>
      <c r="G167" s="38"/>
      <c r="H167" s="38"/>
      <c r="I167" s="38"/>
      <c r="J167" s="38"/>
      <c r="K167" s="38"/>
      <c r="L167" s="38"/>
      <c r="M167" s="38"/>
      <c r="N167" s="38"/>
      <c r="O167" s="38"/>
      <c r="P167" s="38"/>
      <c r="Q167" s="38"/>
      <c r="R167" s="203"/>
      <c r="S167" s="203"/>
      <c r="T167" s="203"/>
      <c r="U167" s="203"/>
      <c r="V167" s="38"/>
      <c r="W167" s="38"/>
      <c r="X167" s="38"/>
      <c r="Y167" s="38"/>
      <c r="Z167" s="38"/>
      <c r="AA167" s="38"/>
      <c r="AB167" s="38"/>
      <c r="AC167" s="38"/>
      <c r="AD167" s="38"/>
      <c r="AE167" s="38"/>
      <c r="AF167" s="38"/>
      <c r="AG167" s="38"/>
      <c r="AH167" s="38"/>
      <c r="AI167" s="38"/>
      <c r="AJ167" s="38"/>
      <c r="AK167" s="48"/>
      <c r="AL167" s="38"/>
      <c r="AM167" s="38"/>
      <c r="AN167" s="38"/>
      <c r="AO167" s="38"/>
      <c r="AP167" s="38"/>
      <c r="AQ167" s="38"/>
      <c r="AR167" s="38"/>
      <c r="AS167" s="38"/>
      <c r="AT167" s="38"/>
      <c r="AU167" s="48"/>
    </row>
    <row r="168" ht="15.75" customHeight="1">
      <c r="A168" s="33"/>
      <c r="B168" s="38"/>
      <c r="C168" s="48"/>
      <c r="D168" s="38"/>
      <c r="E168" s="48"/>
      <c r="F168" s="38"/>
      <c r="G168" s="38"/>
      <c r="H168" s="38"/>
      <c r="I168" s="38"/>
      <c r="J168" s="38"/>
      <c r="K168" s="38"/>
      <c r="L168" s="38"/>
      <c r="M168" s="38"/>
      <c r="N168" s="38"/>
      <c r="O168" s="38"/>
      <c r="P168" s="38"/>
      <c r="Q168" s="38"/>
      <c r="R168" s="203"/>
      <c r="S168" s="203"/>
      <c r="T168" s="203"/>
      <c r="U168" s="203"/>
      <c r="V168" s="38"/>
      <c r="W168" s="38"/>
      <c r="X168" s="38"/>
      <c r="Y168" s="38"/>
      <c r="Z168" s="38"/>
      <c r="AA168" s="38"/>
      <c r="AB168" s="38"/>
      <c r="AC168" s="38"/>
      <c r="AD168" s="38"/>
      <c r="AE168" s="38"/>
      <c r="AF168" s="38"/>
      <c r="AG168" s="38"/>
      <c r="AH168" s="38"/>
      <c r="AI168" s="38"/>
      <c r="AJ168" s="38"/>
      <c r="AK168" s="48"/>
      <c r="AL168" s="38"/>
      <c r="AM168" s="38"/>
      <c r="AN168" s="38"/>
      <c r="AO168" s="38"/>
      <c r="AP168" s="38"/>
      <c r="AQ168" s="38"/>
      <c r="AR168" s="38"/>
      <c r="AS168" s="38"/>
      <c r="AT168" s="38"/>
      <c r="AU168" s="48"/>
    </row>
    <row r="169" ht="15.75" customHeight="1">
      <c r="A169" s="33"/>
      <c r="B169" s="38"/>
      <c r="C169" s="48"/>
      <c r="D169" s="38"/>
      <c r="E169" s="48"/>
      <c r="F169" s="38"/>
      <c r="G169" s="38"/>
      <c r="H169" s="38"/>
      <c r="I169" s="38"/>
      <c r="J169" s="38"/>
      <c r="K169" s="38"/>
      <c r="L169" s="38"/>
      <c r="M169" s="38"/>
      <c r="N169" s="38"/>
      <c r="O169" s="38"/>
      <c r="P169" s="38"/>
      <c r="Q169" s="38"/>
      <c r="R169" s="203"/>
      <c r="S169" s="203"/>
      <c r="T169" s="203"/>
      <c r="U169" s="203"/>
      <c r="V169" s="38"/>
      <c r="W169" s="38"/>
      <c r="X169" s="38"/>
      <c r="Y169" s="38"/>
      <c r="Z169" s="38"/>
      <c r="AA169" s="38"/>
      <c r="AB169" s="38"/>
      <c r="AC169" s="38"/>
      <c r="AD169" s="38"/>
      <c r="AE169" s="38"/>
      <c r="AF169" s="38"/>
      <c r="AG169" s="38"/>
      <c r="AH169" s="38"/>
      <c r="AI169" s="38"/>
      <c r="AJ169" s="38"/>
      <c r="AK169" s="48"/>
      <c r="AL169" s="38"/>
      <c r="AM169" s="38"/>
      <c r="AN169" s="38"/>
      <c r="AO169" s="38"/>
      <c r="AP169" s="38"/>
      <c r="AQ169" s="38"/>
      <c r="AR169" s="38"/>
      <c r="AS169" s="38"/>
      <c r="AT169" s="38"/>
      <c r="AU169" s="48"/>
    </row>
    <row r="170" ht="15.75" customHeight="1">
      <c r="A170" s="33"/>
      <c r="B170" s="38"/>
      <c r="C170" s="48"/>
      <c r="D170" s="38"/>
      <c r="E170" s="48"/>
      <c r="F170" s="38"/>
      <c r="G170" s="38"/>
      <c r="H170" s="38"/>
      <c r="I170" s="38"/>
      <c r="J170" s="38"/>
      <c r="K170" s="38"/>
      <c r="L170" s="38"/>
      <c r="M170" s="38"/>
      <c r="N170" s="38"/>
      <c r="O170" s="38"/>
      <c r="P170" s="38"/>
      <c r="Q170" s="38"/>
      <c r="R170" s="203"/>
      <c r="S170" s="203"/>
      <c r="T170" s="203"/>
      <c r="U170" s="203"/>
      <c r="V170" s="38"/>
      <c r="W170" s="38"/>
      <c r="X170" s="38"/>
      <c r="Y170" s="38"/>
      <c r="Z170" s="38"/>
      <c r="AA170" s="38"/>
      <c r="AB170" s="38"/>
      <c r="AC170" s="38"/>
      <c r="AD170" s="38"/>
      <c r="AE170" s="38"/>
      <c r="AF170" s="38"/>
      <c r="AG170" s="38"/>
      <c r="AH170" s="38"/>
      <c r="AI170" s="38"/>
      <c r="AJ170" s="38"/>
      <c r="AK170" s="48"/>
      <c r="AL170" s="38"/>
      <c r="AM170" s="38"/>
      <c r="AN170" s="38"/>
      <c r="AO170" s="38"/>
      <c r="AP170" s="38"/>
      <c r="AQ170" s="38"/>
      <c r="AR170" s="38"/>
      <c r="AS170" s="38"/>
      <c r="AT170" s="38"/>
      <c r="AU170" s="48"/>
    </row>
    <row r="171" ht="15.75" customHeight="1">
      <c r="A171" s="33"/>
      <c r="B171" s="38"/>
      <c r="C171" s="48"/>
      <c r="D171" s="38"/>
      <c r="E171" s="48"/>
      <c r="F171" s="38"/>
      <c r="G171" s="38"/>
      <c r="H171" s="38"/>
      <c r="I171" s="38"/>
      <c r="J171" s="38"/>
      <c r="K171" s="38"/>
      <c r="L171" s="38"/>
      <c r="M171" s="38"/>
      <c r="N171" s="38"/>
      <c r="O171" s="38"/>
      <c r="P171" s="38"/>
      <c r="Q171" s="38"/>
      <c r="R171" s="203"/>
      <c r="S171" s="203"/>
      <c r="T171" s="203"/>
      <c r="U171" s="203"/>
      <c r="V171" s="38"/>
      <c r="W171" s="38"/>
      <c r="X171" s="38"/>
      <c r="Y171" s="38"/>
      <c r="Z171" s="38"/>
      <c r="AA171" s="38"/>
      <c r="AB171" s="38"/>
      <c r="AC171" s="38"/>
      <c r="AD171" s="38"/>
      <c r="AE171" s="38"/>
      <c r="AF171" s="38"/>
      <c r="AG171" s="38"/>
      <c r="AH171" s="38"/>
      <c r="AI171" s="38"/>
      <c r="AJ171" s="38"/>
      <c r="AK171" s="48"/>
      <c r="AL171" s="38"/>
      <c r="AM171" s="38"/>
      <c r="AN171" s="38"/>
      <c r="AO171" s="38"/>
      <c r="AP171" s="38"/>
      <c r="AQ171" s="38"/>
      <c r="AR171" s="38"/>
      <c r="AS171" s="38"/>
      <c r="AT171" s="38"/>
      <c r="AU171" s="48"/>
    </row>
    <row r="172" ht="15.75" customHeight="1">
      <c r="A172" s="33"/>
      <c r="B172" s="38"/>
      <c r="C172" s="48"/>
      <c r="D172" s="38"/>
      <c r="E172" s="48"/>
      <c r="F172" s="38"/>
      <c r="G172" s="38"/>
      <c r="H172" s="38"/>
      <c r="I172" s="38"/>
      <c r="J172" s="38"/>
      <c r="K172" s="38"/>
      <c r="L172" s="38"/>
      <c r="M172" s="38"/>
      <c r="N172" s="38"/>
      <c r="O172" s="38"/>
      <c r="P172" s="38"/>
      <c r="Q172" s="38"/>
      <c r="R172" s="203"/>
      <c r="S172" s="203"/>
      <c r="T172" s="203"/>
      <c r="U172" s="203"/>
      <c r="V172" s="38"/>
      <c r="W172" s="38"/>
      <c r="X172" s="38"/>
      <c r="Y172" s="38"/>
      <c r="Z172" s="38"/>
      <c r="AA172" s="38"/>
      <c r="AB172" s="38"/>
      <c r="AC172" s="38"/>
      <c r="AD172" s="38"/>
      <c r="AE172" s="38"/>
      <c r="AF172" s="38"/>
      <c r="AG172" s="38"/>
      <c r="AH172" s="38"/>
      <c r="AI172" s="38"/>
      <c r="AJ172" s="38"/>
      <c r="AK172" s="48"/>
      <c r="AL172" s="38"/>
      <c r="AM172" s="38"/>
      <c r="AN172" s="38"/>
      <c r="AO172" s="38"/>
      <c r="AP172" s="38"/>
      <c r="AQ172" s="38"/>
      <c r="AR172" s="38"/>
      <c r="AS172" s="38"/>
      <c r="AT172" s="38"/>
      <c r="AU172" s="48"/>
    </row>
    <row r="173" ht="15.75" customHeight="1">
      <c r="A173" s="33"/>
      <c r="B173" s="38"/>
      <c r="C173" s="48"/>
      <c r="D173" s="38"/>
      <c r="E173" s="48"/>
      <c r="F173" s="38"/>
      <c r="G173" s="38"/>
      <c r="H173" s="38"/>
      <c r="I173" s="38"/>
      <c r="J173" s="38"/>
      <c r="K173" s="38"/>
      <c r="L173" s="38"/>
      <c r="M173" s="38"/>
      <c r="N173" s="38"/>
      <c r="O173" s="38"/>
      <c r="P173" s="38"/>
      <c r="Q173" s="38"/>
      <c r="R173" s="203"/>
      <c r="S173" s="203"/>
      <c r="T173" s="203"/>
      <c r="U173" s="203"/>
      <c r="V173" s="38"/>
      <c r="W173" s="38"/>
      <c r="X173" s="38"/>
      <c r="Y173" s="38"/>
      <c r="Z173" s="38"/>
      <c r="AA173" s="38"/>
      <c r="AB173" s="38"/>
      <c r="AC173" s="38"/>
      <c r="AD173" s="38"/>
      <c r="AE173" s="38"/>
      <c r="AF173" s="38"/>
      <c r="AG173" s="38"/>
      <c r="AH173" s="38"/>
      <c r="AI173" s="38"/>
      <c r="AJ173" s="38"/>
      <c r="AK173" s="48"/>
      <c r="AL173" s="38"/>
      <c r="AM173" s="38"/>
      <c r="AN173" s="38"/>
      <c r="AO173" s="38"/>
      <c r="AP173" s="38"/>
      <c r="AQ173" s="38"/>
      <c r="AR173" s="38"/>
      <c r="AS173" s="38"/>
      <c r="AT173" s="38"/>
      <c r="AU173" s="48"/>
    </row>
    <row r="174" ht="15.75" customHeight="1">
      <c r="A174" s="33"/>
      <c r="B174" s="38"/>
      <c r="C174" s="48"/>
      <c r="D174" s="38"/>
      <c r="E174" s="48"/>
      <c r="F174" s="38"/>
      <c r="G174" s="38"/>
      <c r="H174" s="38"/>
      <c r="I174" s="38"/>
      <c r="J174" s="38"/>
      <c r="K174" s="38"/>
      <c r="L174" s="38"/>
      <c r="M174" s="38"/>
      <c r="N174" s="38"/>
      <c r="O174" s="38"/>
      <c r="P174" s="38"/>
      <c r="Q174" s="38"/>
      <c r="R174" s="203"/>
      <c r="S174" s="203"/>
      <c r="T174" s="203"/>
      <c r="U174" s="203"/>
      <c r="V174" s="38"/>
      <c r="W174" s="38"/>
      <c r="X174" s="38"/>
      <c r="Y174" s="38"/>
      <c r="Z174" s="38"/>
      <c r="AA174" s="38"/>
      <c r="AB174" s="38"/>
      <c r="AC174" s="38"/>
      <c r="AD174" s="38"/>
      <c r="AE174" s="38"/>
      <c r="AF174" s="38"/>
      <c r="AG174" s="38"/>
      <c r="AH174" s="38"/>
      <c r="AI174" s="38"/>
      <c r="AJ174" s="38"/>
      <c r="AK174" s="48"/>
      <c r="AL174" s="38"/>
      <c r="AM174" s="38"/>
      <c r="AN174" s="38"/>
      <c r="AO174" s="38"/>
      <c r="AP174" s="38"/>
      <c r="AQ174" s="38"/>
      <c r="AR174" s="38"/>
      <c r="AS174" s="38"/>
      <c r="AT174" s="38"/>
      <c r="AU174" s="48"/>
    </row>
    <row r="175" ht="15.75" customHeight="1">
      <c r="A175" s="33"/>
      <c r="B175" s="38"/>
      <c r="C175" s="48"/>
      <c r="D175" s="38"/>
      <c r="E175" s="48"/>
      <c r="F175" s="38"/>
      <c r="G175" s="38"/>
      <c r="H175" s="38"/>
      <c r="I175" s="38"/>
      <c r="J175" s="38"/>
      <c r="K175" s="38"/>
      <c r="L175" s="38"/>
      <c r="M175" s="38"/>
      <c r="N175" s="38"/>
      <c r="O175" s="38"/>
      <c r="P175" s="38"/>
      <c r="Q175" s="38"/>
      <c r="R175" s="203"/>
      <c r="S175" s="203"/>
      <c r="T175" s="203"/>
      <c r="U175" s="203"/>
      <c r="V175" s="38"/>
      <c r="W175" s="38"/>
      <c r="X175" s="38"/>
      <c r="Y175" s="38"/>
      <c r="Z175" s="38"/>
      <c r="AA175" s="38"/>
      <c r="AB175" s="38"/>
      <c r="AC175" s="38"/>
      <c r="AD175" s="38"/>
      <c r="AE175" s="38"/>
      <c r="AF175" s="38"/>
      <c r="AG175" s="38"/>
      <c r="AH175" s="38"/>
      <c r="AI175" s="38"/>
      <c r="AJ175" s="38"/>
      <c r="AK175" s="48"/>
      <c r="AL175" s="38"/>
      <c r="AM175" s="38"/>
      <c r="AN175" s="38"/>
      <c r="AO175" s="38"/>
      <c r="AP175" s="38"/>
      <c r="AQ175" s="38"/>
      <c r="AR175" s="38"/>
      <c r="AS175" s="38"/>
      <c r="AT175" s="38"/>
      <c r="AU175" s="48"/>
    </row>
    <row r="176" ht="15.75" customHeight="1">
      <c r="A176" s="33"/>
      <c r="B176" s="38"/>
      <c r="C176" s="48"/>
      <c r="D176" s="38"/>
      <c r="E176" s="4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48"/>
      <c r="AL176" s="38"/>
      <c r="AM176" s="38"/>
      <c r="AN176" s="38"/>
      <c r="AO176" s="38"/>
      <c r="AP176" s="38"/>
      <c r="AQ176" s="38"/>
      <c r="AR176" s="38"/>
      <c r="AS176" s="38"/>
      <c r="AT176" s="38"/>
      <c r="AU176" s="48"/>
    </row>
    <row r="177" ht="15.75" customHeight="1">
      <c r="A177" s="33"/>
      <c r="B177" s="38"/>
      <c r="C177" s="48"/>
      <c r="D177" s="38"/>
      <c r="E177" s="4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48"/>
      <c r="AL177" s="38"/>
      <c r="AM177" s="38"/>
      <c r="AN177" s="38"/>
      <c r="AO177" s="38"/>
      <c r="AP177" s="38"/>
      <c r="AQ177" s="38"/>
      <c r="AR177" s="38"/>
      <c r="AS177" s="38"/>
      <c r="AT177" s="38"/>
      <c r="AU177" s="48"/>
    </row>
    <row r="178" ht="15.75" customHeight="1">
      <c r="A178" s="33"/>
      <c r="B178" s="38"/>
      <c r="C178" s="48"/>
      <c r="D178" s="38"/>
      <c r="E178" s="4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48"/>
      <c r="AL178" s="38"/>
      <c r="AM178" s="38"/>
      <c r="AN178" s="38"/>
      <c r="AO178" s="38"/>
      <c r="AP178" s="38"/>
      <c r="AQ178" s="38"/>
      <c r="AR178" s="38"/>
      <c r="AS178" s="38"/>
      <c r="AT178" s="38"/>
      <c r="AU178" s="48"/>
    </row>
    <row r="179" ht="15.75" customHeight="1">
      <c r="A179" s="33"/>
      <c r="B179" s="38"/>
      <c r="C179" s="48"/>
      <c r="D179" s="38"/>
      <c r="E179" s="4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48"/>
      <c r="AL179" s="38"/>
      <c r="AM179" s="38"/>
      <c r="AN179" s="38"/>
      <c r="AO179" s="38"/>
      <c r="AP179" s="38"/>
      <c r="AQ179" s="38"/>
      <c r="AR179" s="38"/>
      <c r="AS179" s="38"/>
      <c r="AT179" s="38"/>
      <c r="AU179" s="48"/>
    </row>
    <row r="180" ht="15.75" customHeight="1">
      <c r="A180" s="33"/>
      <c r="B180" s="38"/>
      <c r="C180" s="48"/>
      <c r="D180" s="38"/>
      <c r="E180" s="4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48"/>
      <c r="AL180" s="38"/>
      <c r="AM180" s="38"/>
      <c r="AN180" s="38"/>
      <c r="AO180" s="38"/>
      <c r="AP180" s="38"/>
      <c r="AQ180" s="38"/>
      <c r="AR180" s="38"/>
      <c r="AS180" s="38"/>
      <c r="AT180" s="38"/>
      <c r="AU180" s="48"/>
    </row>
    <row r="181" ht="15.75" customHeight="1">
      <c r="A181" s="33"/>
      <c r="B181" s="38"/>
      <c r="C181" s="48"/>
      <c r="D181" s="38"/>
      <c r="E181" s="4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48"/>
      <c r="AL181" s="38"/>
      <c r="AM181" s="38"/>
      <c r="AN181" s="38"/>
      <c r="AO181" s="38"/>
      <c r="AP181" s="38"/>
      <c r="AQ181" s="38"/>
      <c r="AR181" s="38"/>
      <c r="AS181" s="38"/>
      <c r="AT181" s="38"/>
      <c r="AU181" s="48"/>
    </row>
    <row r="182" ht="15.75" customHeight="1">
      <c r="A182" s="33"/>
      <c r="B182" s="38"/>
      <c r="C182" s="48"/>
      <c r="D182" s="38"/>
      <c r="E182" s="4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48"/>
      <c r="AL182" s="38"/>
      <c r="AM182" s="38"/>
      <c r="AN182" s="38"/>
      <c r="AO182" s="38"/>
      <c r="AP182" s="38"/>
      <c r="AQ182" s="38"/>
      <c r="AR182" s="38"/>
      <c r="AS182" s="38"/>
      <c r="AT182" s="38"/>
      <c r="AU182" s="48"/>
    </row>
    <row r="183" ht="15.75" customHeight="1">
      <c r="A183" s="33"/>
      <c r="B183" s="38"/>
      <c r="C183" s="48"/>
      <c r="D183" s="38"/>
      <c r="E183" s="4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48"/>
      <c r="AL183" s="38"/>
      <c r="AM183" s="38"/>
      <c r="AN183" s="38"/>
      <c r="AO183" s="38"/>
      <c r="AP183" s="38"/>
      <c r="AQ183" s="38"/>
      <c r="AR183" s="38"/>
      <c r="AS183" s="38"/>
      <c r="AT183" s="38"/>
      <c r="AU183" s="48"/>
    </row>
    <row r="184" ht="15.75" customHeight="1">
      <c r="A184" s="33"/>
      <c r="B184" s="38"/>
      <c r="C184" s="48"/>
      <c r="D184" s="38"/>
      <c r="E184" s="4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48"/>
      <c r="AL184" s="38"/>
      <c r="AM184" s="38"/>
      <c r="AN184" s="38"/>
      <c r="AO184" s="38"/>
      <c r="AP184" s="38"/>
      <c r="AQ184" s="38"/>
      <c r="AR184" s="38"/>
      <c r="AS184" s="38"/>
      <c r="AT184" s="38"/>
      <c r="AU184" s="48"/>
    </row>
    <row r="185" ht="15.75" customHeight="1">
      <c r="A185" s="33"/>
      <c r="B185" s="38"/>
      <c r="C185" s="48"/>
      <c r="D185" s="38"/>
      <c r="E185" s="4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48"/>
      <c r="AL185" s="38"/>
      <c r="AM185" s="38"/>
      <c r="AN185" s="38"/>
      <c r="AO185" s="38"/>
      <c r="AP185" s="38"/>
      <c r="AQ185" s="38"/>
      <c r="AR185" s="38"/>
      <c r="AS185" s="38"/>
      <c r="AT185" s="38"/>
      <c r="AU185" s="48"/>
    </row>
    <row r="186" ht="15.75" customHeight="1">
      <c r="A186" s="33"/>
      <c r="B186" s="38"/>
      <c r="C186" s="48"/>
      <c r="D186" s="38"/>
      <c r="E186" s="4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48"/>
      <c r="AL186" s="38"/>
      <c r="AM186" s="38"/>
      <c r="AN186" s="38"/>
      <c r="AO186" s="38"/>
      <c r="AP186" s="38"/>
      <c r="AQ186" s="38"/>
      <c r="AR186" s="38"/>
      <c r="AS186" s="38"/>
      <c r="AT186" s="38"/>
      <c r="AU186" s="48"/>
    </row>
    <row r="187" ht="15.75" customHeight="1">
      <c r="A187" s="33"/>
      <c r="B187" s="38"/>
      <c r="C187" s="48"/>
      <c r="D187" s="38"/>
      <c r="E187" s="4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48"/>
      <c r="AL187" s="38"/>
      <c r="AM187" s="38"/>
      <c r="AN187" s="38"/>
      <c r="AO187" s="38"/>
      <c r="AP187" s="38"/>
      <c r="AQ187" s="38"/>
      <c r="AR187" s="38"/>
      <c r="AS187" s="38"/>
      <c r="AT187" s="38"/>
      <c r="AU187" s="48"/>
    </row>
    <row r="188" ht="15.75" customHeight="1">
      <c r="A188" s="33"/>
      <c r="B188" s="38"/>
      <c r="C188" s="48"/>
      <c r="D188" s="38"/>
      <c r="E188" s="4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48"/>
      <c r="AL188" s="38"/>
      <c r="AM188" s="38"/>
      <c r="AN188" s="38"/>
      <c r="AO188" s="38"/>
      <c r="AP188" s="38"/>
      <c r="AQ188" s="38"/>
      <c r="AR188" s="38"/>
      <c r="AS188" s="38"/>
      <c r="AT188" s="38"/>
      <c r="AU188" s="48"/>
    </row>
    <row r="189" ht="15.75" customHeight="1">
      <c r="A189" s="33"/>
      <c r="B189" s="38"/>
      <c r="C189" s="48"/>
      <c r="D189" s="38"/>
      <c r="E189" s="4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48"/>
      <c r="AL189" s="38"/>
      <c r="AM189" s="38"/>
      <c r="AN189" s="38"/>
      <c r="AO189" s="38"/>
      <c r="AP189" s="38"/>
      <c r="AQ189" s="38"/>
      <c r="AR189" s="38"/>
      <c r="AS189" s="38"/>
      <c r="AT189" s="38"/>
      <c r="AU189" s="48"/>
    </row>
    <row r="190" ht="15.75" customHeight="1">
      <c r="A190" s="33"/>
      <c r="B190" s="38"/>
      <c r="C190" s="48"/>
      <c r="D190" s="38"/>
      <c r="E190" s="4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48"/>
      <c r="AL190" s="38"/>
      <c r="AM190" s="38"/>
      <c r="AN190" s="38"/>
      <c r="AO190" s="38"/>
      <c r="AP190" s="38"/>
      <c r="AQ190" s="38"/>
      <c r="AR190" s="38"/>
      <c r="AS190" s="38"/>
      <c r="AT190" s="38"/>
      <c r="AU190" s="48"/>
    </row>
    <row r="191" ht="15.75" customHeight="1">
      <c r="A191" s="33"/>
      <c r="B191" s="38"/>
      <c r="C191" s="48"/>
      <c r="D191" s="38"/>
      <c r="E191" s="4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48"/>
      <c r="AL191" s="38"/>
      <c r="AM191" s="38"/>
      <c r="AN191" s="38"/>
      <c r="AO191" s="38"/>
      <c r="AP191" s="38"/>
      <c r="AQ191" s="38"/>
      <c r="AR191" s="38"/>
      <c r="AS191" s="38"/>
      <c r="AT191" s="38"/>
      <c r="AU191" s="48"/>
    </row>
    <row r="192" ht="15.75" customHeight="1">
      <c r="A192" s="33"/>
      <c r="B192" s="38"/>
      <c r="C192" s="48"/>
      <c r="D192" s="38"/>
      <c r="E192" s="4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48"/>
      <c r="AL192" s="38"/>
      <c r="AM192" s="38"/>
      <c r="AN192" s="38"/>
      <c r="AO192" s="38"/>
      <c r="AP192" s="38"/>
      <c r="AQ192" s="38"/>
      <c r="AR192" s="38"/>
      <c r="AS192" s="38"/>
      <c r="AT192" s="38"/>
      <c r="AU192" s="48"/>
    </row>
    <row r="193" ht="15.75" customHeight="1">
      <c r="A193" s="33"/>
      <c r="B193" s="38"/>
      <c r="C193" s="48"/>
      <c r="D193" s="38"/>
      <c r="E193" s="4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48"/>
      <c r="AL193" s="38"/>
      <c r="AM193" s="38"/>
      <c r="AN193" s="38"/>
      <c r="AO193" s="38"/>
      <c r="AP193" s="38"/>
      <c r="AQ193" s="38"/>
      <c r="AR193" s="38"/>
      <c r="AS193" s="38"/>
      <c r="AT193" s="38"/>
      <c r="AU193" s="48"/>
    </row>
    <row r="194" ht="15.75" customHeight="1">
      <c r="A194" s="33"/>
      <c r="B194" s="38"/>
      <c r="C194" s="48"/>
      <c r="D194" s="38"/>
      <c r="E194" s="4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48"/>
      <c r="AL194" s="38"/>
      <c r="AM194" s="38"/>
      <c r="AN194" s="38"/>
      <c r="AO194" s="38"/>
      <c r="AP194" s="38"/>
      <c r="AQ194" s="38"/>
      <c r="AR194" s="38"/>
      <c r="AS194" s="38"/>
      <c r="AT194" s="38"/>
      <c r="AU194" s="48"/>
    </row>
    <row r="195" ht="15.75" customHeight="1">
      <c r="A195" s="33"/>
      <c r="B195" s="38"/>
      <c r="C195" s="48"/>
      <c r="D195" s="38"/>
      <c r="E195" s="4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48"/>
      <c r="AL195" s="38"/>
      <c r="AM195" s="38"/>
      <c r="AN195" s="38"/>
      <c r="AO195" s="38"/>
      <c r="AP195" s="38"/>
      <c r="AQ195" s="38"/>
      <c r="AR195" s="38"/>
      <c r="AS195" s="38"/>
      <c r="AT195" s="38"/>
      <c r="AU195" s="48"/>
    </row>
    <row r="196" ht="15.75" customHeight="1">
      <c r="A196" s="33"/>
      <c r="B196" s="38"/>
      <c r="C196" s="48"/>
      <c r="D196" s="38"/>
      <c r="E196" s="4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48"/>
      <c r="AL196" s="38"/>
      <c r="AM196" s="38"/>
      <c r="AN196" s="38"/>
      <c r="AO196" s="38"/>
      <c r="AP196" s="38"/>
      <c r="AQ196" s="38"/>
      <c r="AR196" s="38"/>
      <c r="AS196" s="38"/>
      <c r="AT196" s="38"/>
      <c r="AU196" s="48"/>
    </row>
    <row r="197" ht="15.75" customHeight="1">
      <c r="A197" s="33"/>
      <c r="B197" s="38"/>
      <c r="C197" s="48"/>
      <c r="D197" s="38"/>
      <c r="E197" s="4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48"/>
      <c r="AL197" s="38"/>
      <c r="AM197" s="38"/>
      <c r="AN197" s="38"/>
      <c r="AO197" s="38"/>
      <c r="AP197" s="38"/>
      <c r="AQ197" s="38"/>
      <c r="AR197" s="38"/>
      <c r="AS197" s="38"/>
      <c r="AT197" s="38"/>
      <c r="AU197" s="48"/>
    </row>
    <row r="198" ht="15.75" customHeight="1">
      <c r="A198" s="33"/>
      <c r="B198" s="38"/>
      <c r="C198" s="48"/>
      <c r="D198" s="38"/>
      <c r="E198" s="4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48"/>
      <c r="AL198" s="38"/>
      <c r="AM198" s="38"/>
      <c r="AN198" s="38"/>
      <c r="AO198" s="38"/>
      <c r="AP198" s="38"/>
      <c r="AQ198" s="38"/>
      <c r="AR198" s="38"/>
      <c r="AS198" s="38"/>
      <c r="AT198" s="38"/>
      <c r="AU198" s="48"/>
    </row>
    <row r="199" ht="15.75" customHeight="1">
      <c r="A199" s="33"/>
      <c r="B199" s="38"/>
      <c r="C199" s="48"/>
      <c r="D199" s="38"/>
      <c r="E199" s="4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48"/>
      <c r="AL199" s="38"/>
      <c r="AM199" s="38"/>
      <c r="AN199" s="38"/>
      <c r="AO199" s="38"/>
      <c r="AP199" s="38"/>
      <c r="AQ199" s="38"/>
      <c r="AR199" s="38"/>
      <c r="AS199" s="38"/>
      <c r="AT199" s="38"/>
      <c r="AU199" s="48"/>
    </row>
    <row r="200" ht="15.75" customHeight="1">
      <c r="A200" s="33"/>
      <c r="B200" s="38"/>
      <c r="C200" s="48"/>
      <c r="D200" s="38"/>
      <c r="E200" s="4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48"/>
      <c r="AL200" s="38"/>
      <c r="AM200" s="38"/>
      <c r="AN200" s="38"/>
      <c r="AO200" s="38"/>
      <c r="AP200" s="38"/>
      <c r="AQ200" s="38"/>
      <c r="AR200" s="38"/>
      <c r="AS200" s="38"/>
      <c r="AT200" s="38"/>
      <c r="AU200" s="48"/>
    </row>
    <row r="201" ht="15.75" customHeight="1">
      <c r="A201" s="33"/>
      <c r="B201" s="38"/>
      <c r="C201" s="48"/>
      <c r="D201" s="38"/>
      <c r="E201" s="4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48"/>
      <c r="AL201" s="38"/>
      <c r="AM201" s="38"/>
      <c r="AN201" s="38"/>
      <c r="AO201" s="38"/>
      <c r="AP201" s="38"/>
      <c r="AQ201" s="38"/>
      <c r="AR201" s="38"/>
      <c r="AS201" s="38"/>
      <c r="AT201" s="38"/>
      <c r="AU201" s="48"/>
    </row>
    <row r="202" ht="15.75" customHeight="1">
      <c r="A202" s="33"/>
      <c r="B202" s="38"/>
      <c r="C202" s="48"/>
      <c r="D202" s="38"/>
      <c r="E202" s="4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48"/>
      <c r="AL202" s="38"/>
      <c r="AM202" s="38"/>
      <c r="AN202" s="38"/>
      <c r="AO202" s="38"/>
      <c r="AP202" s="38"/>
      <c r="AQ202" s="38"/>
      <c r="AR202" s="38"/>
      <c r="AS202" s="38"/>
      <c r="AT202" s="38"/>
      <c r="AU202" s="48"/>
    </row>
    <row r="203" ht="15.75" customHeight="1">
      <c r="A203" s="33"/>
      <c r="B203" s="38"/>
      <c r="C203" s="48"/>
      <c r="D203" s="38"/>
      <c r="E203" s="4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48"/>
      <c r="AL203" s="38"/>
      <c r="AM203" s="38"/>
      <c r="AN203" s="38"/>
      <c r="AO203" s="38"/>
      <c r="AP203" s="38"/>
      <c r="AQ203" s="38"/>
      <c r="AR203" s="38"/>
      <c r="AS203" s="38"/>
      <c r="AT203" s="38"/>
      <c r="AU203" s="48"/>
    </row>
    <row r="204" ht="15.75" customHeight="1">
      <c r="A204" s="33"/>
      <c r="B204" s="38"/>
      <c r="C204" s="48"/>
      <c r="D204" s="38"/>
      <c r="E204" s="4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48"/>
      <c r="AL204" s="38"/>
      <c r="AM204" s="38"/>
      <c r="AN204" s="38"/>
      <c r="AO204" s="38"/>
      <c r="AP204" s="38"/>
      <c r="AQ204" s="38"/>
      <c r="AR204" s="38"/>
      <c r="AS204" s="38"/>
      <c r="AT204" s="38"/>
      <c r="AU204" s="48"/>
    </row>
    <row r="205" ht="15.75" customHeight="1">
      <c r="A205" s="33"/>
      <c r="B205" s="38"/>
      <c r="C205" s="48"/>
      <c r="D205" s="38"/>
      <c r="E205" s="4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48"/>
      <c r="AL205" s="38"/>
      <c r="AM205" s="38"/>
      <c r="AN205" s="38"/>
      <c r="AO205" s="38"/>
      <c r="AP205" s="38"/>
      <c r="AQ205" s="38"/>
      <c r="AR205" s="38"/>
      <c r="AS205" s="38"/>
      <c r="AT205" s="38"/>
      <c r="AU205" s="48"/>
    </row>
    <row r="206" ht="15.75" customHeight="1">
      <c r="A206" s="33"/>
      <c r="B206" s="38"/>
      <c r="C206" s="48"/>
      <c r="D206" s="38"/>
      <c r="E206" s="4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48"/>
      <c r="AL206" s="38"/>
      <c r="AM206" s="38"/>
      <c r="AN206" s="38"/>
      <c r="AO206" s="38"/>
      <c r="AP206" s="38"/>
      <c r="AQ206" s="38"/>
      <c r="AR206" s="38"/>
      <c r="AS206" s="38"/>
      <c r="AT206" s="38"/>
      <c r="AU206" s="48"/>
    </row>
    <row r="207" ht="15.75" customHeight="1">
      <c r="A207" s="33"/>
      <c r="B207" s="38"/>
      <c r="C207" s="48"/>
      <c r="D207" s="38"/>
      <c r="E207" s="4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48"/>
      <c r="AL207" s="38"/>
      <c r="AM207" s="38"/>
      <c r="AN207" s="38"/>
      <c r="AO207" s="38"/>
      <c r="AP207" s="38"/>
      <c r="AQ207" s="38"/>
      <c r="AR207" s="38"/>
      <c r="AS207" s="38"/>
      <c r="AT207" s="38"/>
      <c r="AU207" s="48"/>
    </row>
    <row r="208" ht="15.75" customHeight="1">
      <c r="A208" s="33"/>
      <c r="B208" s="38"/>
      <c r="C208" s="48"/>
      <c r="D208" s="38"/>
      <c r="E208" s="4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48"/>
      <c r="AL208" s="38"/>
      <c r="AM208" s="38"/>
      <c r="AN208" s="38"/>
      <c r="AO208" s="38"/>
      <c r="AP208" s="38"/>
      <c r="AQ208" s="38"/>
      <c r="AR208" s="38"/>
      <c r="AS208" s="38"/>
      <c r="AT208" s="38"/>
      <c r="AU208" s="48"/>
    </row>
    <row r="209" ht="15.75" customHeight="1">
      <c r="A209" s="33"/>
      <c r="B209" s="38"/>
      <c r="C209" s="48"/>
      <c r="D209" s="38"/>
      <c r="E209" s="4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48"/>
      <c r="AL209" s="38"/>
      <c r="AM209" s="38"/>
      <c r="AN209" s="38"/>
      <c r="AO209" s="38"/>
      <c r="AP209" s="38"/>
      <c r="AQ209" s="38"/>
      <c r="AR209" s="38"/>
      <c r="AS209" s="38"/>
      <c r="AT209" s="38"/>
      <c r="AU209" s="48"/>
    </row>
    <row r="210" ht="15.75" customHeight="1">
      <c r="A210" s="33"/>
      <c r="B210" s="38"/>
      <c r="C210" s="48"/>
      <c r="D210" s="38"/>
      <c r="E210" s="4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48"/>
      <c r="AL210" s="38"/>
      <c r="AM210" s="38"/>
      <c r="AN210" s="38"/>
      <c r="AO210" s="38"/>
      <c r="AP210" s="38"/>
      <c r="AQ210" s="38"/>
      <c r="AR210" s="38"/>
      <c r="AS210" s="38"/>
      <c r="AT210" s="38"/>
      <c r="AU210" s="48"/>
    </row>
    <row r="211" ht="15.75" customHeight="1">
      <c r="A211" s="33"/>
      <c r="B211" s="38"/>
      <c r="C211" s="48"/>
      <c r="D211" s="38"/>
      <c r="E211" s="4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48"/>
      <c r="AL211" s="38"/>
      <c r="AM211" s="38"/>
      <c r="AN211" s="38"/>
      <c r="AO211" s="38"/>
      <c r="AP211" s="38"/>
      <c r="AQ211" s="38"/>
      <c r="AR211" s="38"/>
      <c r="AS211" s="38"/>
      <c r="AT211" s="38"/>
      <c r="AU211" s="48"/>
    </row>
    <row r="212" ht="15.75" customHeight="1">
      <c r="A212" s="33"/>
      <c r="B212" s="38"/>
      <c r="C212" s="48"/>
      <c r="D212" s="38"/>
      <c r="E212" s="4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48"/>
      <c r="AL212" s="38"/>
      <c r="AM212" s="38"/>
      <c r="AN212" s="38"/>
      <c r="AO212" s="38"/>
      <c r="AP212" s="38"/>
      <c r="AQ212" s="38"/>
      <c r="AR212" s="38"/>
      <c r="AS212" s="38"/>
      <c r="AT212" s="38"/>
      <c r="AU212" s="48"/>
    </row>
    <row r="213" ht="15.75" customHeight="1">
      <c r="A213" s="33"/>
      <c r="B213" s="38"/>
      <c r="C213" s="48"/>
      <c r="D213" s="38"/>
      <c r="E213" s="4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48"/>
      <c r="AL213" s="38"/>
      <c r="AM213" s="38"/>
      <c r="AN213" s="38"/>
      <c r="AO213" s="38"/>
      <c r="AP213" s="38"/>
      <c r="AQ213" s="38"/>
      <c r="AR213" s="38"/>
      <c r="AS213" s="38"/>
      <c r="AT213" s="38"/>
      <c r="AU213" s="48"/>
    </row>
    <row r="214" ht="15.75" customHeight="1">
      <c r="A214" s="33"/>
      <c r="B214" s="38"/>
      <c r="C214" s="48"/>
      <c r="D214" s="38"/>
      <c r="E214" s="4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48"/>
      <c r="AL214" s="38"/>
      <c r="AM214" s="38"/>
      <c r="AN214" s="38"/>
      <c r="AO214" s="38"/>
      <c r="AP214" s="38"/>
      <c r="AQ214" s="38"/>
      <c r="AR214" s="38"/>
      <c r="AS214" s="38"/>
      <c r="AT214" s="38"/>
      <c r="AU214" s="48"/>
    </row>
    <row r="215" ht="15.75" customHeight="1">
      <c r="A215" s="33"/>
      <c r="B215" s="38"/>
      <c r="C215" s="48"/>
      <c r="D215" s="38"/>
      <c r="E215" s="4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48"/>
      <c r="AL215" s="38"/>
      <c r="AM215" s="38"/>
      <c r="AN215" s="38"/>
      <c r="AO215" s="38"/>
      <c r="AP215" s="38"/>
      <c r="AQ215" s="38"/>
      <c r="AR215" s="38"/>
      <c r="AS215" s="38"/>
      <c r="AT215" s="38"/>
      <c r="AU215" s="48"/>
    </row>
    <row r="216" ht="15.75" customHeight="1">
      <c r="A216" s="33"/>
      <c r="B216" s="38"/>
      <c r="C216" s="48"/>
      <c r="D216" s="38"/>
      <c r="E216" s="4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48"/>
      <c r="AL216" s="38"/>
      <c r="AM216" s="38"/>
      <c r="AN216" s="38"/>
      <c r="AO216" s="38"/>
      <c r="AP216" s="38"/>
      <c r="AQ216" s="38"/>
      <c r="AR216" s="38"/>
      <c r="AS216" s="38"/>
      <c r="AT216" s="38"/>
      <c r="AU216" s="48"/>
    </row>
    <row r="217" ht="15.75" customHeight="1">
      <c r="A217" s="33"/>
      <c r="B217" s="38"/>
      <c r="C217" s="48"/>
      <c r="D217" s="38"/>
      <c r="E217" s="4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48"/>
      <c r="AL217" s="38"/>
      <c r="AM217" s="38"/>
      <c r="AN217" s="38"/>
      <c r="AO217" s="38"/>
      <c r="AP217" s="38"/>
      <c r="AQ217" s="38"/>
      <c r="AR217" s="38"/>
      <c r="AS217" s="38"/>
      <c r="AT217" s="38"/>
      <c r="AU217" s="48"/>
    </row>
    <row r="218" ht="15.75" customHeight="1">
      <c r="A218" s="33"/>
      <c r="B218" s="38"/>
      <c r="C218" s="48"/>
      <c r="D218" s="38"/>
      <c r="E218" s="4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48"/>
      <c r="AL218" s="38"/>
      <c r="AM218" s="38"/>
      <c r="AN218" s="38"/>
      <c r="AO218" s="38"/>
      <c r="AP218" s="38"/>
      <c r="AQ218" s="38"/>
      <c r="AR218" s="38"/>
      <c r="AS218" s="38"/>
      <c r="AT218" s="38"/>
      <c r="AU218" s="48"/>
    </row>
    <row r="219" ht="15.75" customHeight="1">
      <c r="A219" s="33"/>
      <c r="B219" s="38"/>
      <c r="C219" s="48"/>
      <c r="D219" s="38"/>
      <c r="E219" s="4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48"/>
      <c r="AL219" s="38"/>
      <c r="AM219" s="38"/>
      <c r="AN219" s="38"/>
      <c r="AO219" s="38"/>
      <c r="AP219" s="38"/>
      <c r="AQ219" s="38"/>
      <c r="AR219" s="38"/>
      <c r="AS219" s="38"/>
      <c r="AT219" s="38"/>
      <c r="AU219" s="48"/>
    </row>
    <row r="220" ht="15.75" customHeight="1">
      <c r="A220" s="33"/>
      <c r="B220" s="38"/>
      <c r="C220" s="48"/>
      <c r="D220" s="38"/>
      <c r="E220" s="4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48"/>
      <c r="AL220" s="38"/>
      <c r="AM220" s="38"/>
      <c r="AN220" s="38"/>
      <c r="AO220" s="38"/>
      <c r="AP220" s="38"/>
      <c r="AQ220" s="38"/>
      <c r="AR220" s="38"/>
      <c r="AS220" s="38"/>
      <c r="AT220" s="38"/>
      <c r="AU220" s="48"/>
    </row>
    <row r="221" ht="15.75" customHeight="1">
      <c r="A221" s="33"/>
      <c r="B221" s="38"/>
      <c r="C221" s="48"/>
      <c r="D221" s="38"/>
      <c r="E221" s="4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48"/>
      <c r="AL221" s="38"/>
      <c r="AM221" s="38"/>
      <c r="AN221" s="38"/>
      <c r="AO221" s="38"/>
      <c r="AP221" s="38"/>
      <c r="AQ221" s="38"/>
      <c r="AR221" s="38"/>
      <c r="AS221" s="38"/>
      <c r="AT221" s="38"/>
      <c r="AU221" s="48"/>
    </row>
    <row r="222" ht="15.75" customHeight="1">
      <c r="A222" s="33"/>
      <c r="B222" s="38"/>
      <c r="C222" s="48"/>
      <c r="D222" s="38"/>
      <c r="E222" s="4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48"/>
      <c r="AL222" s="38"/>
      <c r="AM222" s="38"/>
      <c r="AN222" s="38"/>
      <c r="AO222" s="38"/>
      <c r="AP222" s="38"/>
      <c r="AQ222" s="38"/>
      <c r="AR222" s="38"/>
      <c r="AS222" s="38"/>
      <c r="AT222" s="38"/>
      <c r="AU222" s="48"/>
    </row>
    <row r="223" ht="15.75" customHeight="1">
      <c r="A223" s="33"/>
      <c r="B223" s="38"/>
      <c r="C223" s="48"/>
      <c r="D223" s="38"/>
      <c r="E223" s="4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48"/>
      <c r="AL223" s="38"/>
      <c r="AM223" s="38"/>
      <c r="AN223" s="38"/>
      <c r="AO223" s="38"/>
      <c r="AP223" s="38"/>
      <c r="AQ223" s="38"/>
      <c r="AR223" s="38"/>
      <c r="AS223" s="38"/>
      <c r="AT223" s="38"/>
      <c r="AU223" s="48"/>
    </row>
    <row r="224" ht="15.75" customHeight="1">
      <c r="A224" s="33"/>
      <c r="B224" s="38"/>
      <c r="C224" s="48"/>
      <c r="D224" s="38"/>
      <c r="E224" s="4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48"/>
      <c r="AL224" s="38"/>
      <c r="AM224" s="38"/>
      <c r="AN224" s="38"/>
      <c r="AO224" s="38"/>
      <c r="AP224" s="38"/>
      <c r="AQ224" s="38"/>
      <c r="AR224" s="38"/>
      <c r="AS224" s="38"/>
      <c r="AT224" s="38"/>
      <c r="AU224" s="48"/>
    </row>
    <row r="225" ht="15.75" customHeight="1">
      <c r="A225" s="33"/>
      <c r="B225" s="38"/>
      <c r="C225" s="48"/>
      <c r="D225" s="38"/>
      <c r="E225" s="4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48"/>
      <c r="AL225" s="38"/>
      <c r="AM225" s="38"/>
      <c r="AN225" s="38"/>
      <c r="AO225" s="38"/>
      <c r="AP225" s="38"/>
      <c r="AQ225" s="38"/>
      <c r="AR225" s="38"/>
      <c r="AS225" s="38"/>
      <c r="AT225" s="38"/>
      <c r="AU225" s="48"/>
    </row>
    <row r="226" ht="15.75" customHeight="1">
      <c r="A226" s="33"/>
      <c r="B226" s="38"/>
      <c r="C226" s="48"/>
      <c r="D226" s="38"/>
      <c r="E226" s="4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48"/>
      <c r="AL226" s="38"/>
      <c r="AM226" s="38"/>
      <c r="AN226" s="38"/>
      <c r="AO226" s="38"/>
      <c r="AP226" s="38"/>
      <c r="AQ226" s="38"/>
      <c r="AR226" s="38"/>
      <c r="AS226" s="38"/>
      <c r="AT226" s="38"/>
      <c r="AU226" s="48"/>
    </row>
    <row r="227" ht="15.75" customHeight="1">
      <c r="A227" s="33"/>
      <c r="B227" s="38"/>
      <c r="C227" s="48"/>
      <c r="D227" s="38"/>
      <c r="E227" s="4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48"/>
      <c r="AL227" s="38"/>
      <c r="AM227" s="38"/>
      <c r="AN227" s="38"/>
      <c r="AO227" s="38"/>
      <c r="AP227" s="38"/>
      <c r="AQ227" s="38"/>
      <c r="AR227" s="38"/>
      <c r="AS227" s="38"/>
      <c r="AT227" s="38"/>
      <c r="AU227" s="48"/>
    </row>
    <row r="228" ht="15.75" customHeight="1">
      <c r="A228" s="33"/>
      <c r="B228" s="38"/>
      <c r="C228" s="48"/>
      <c r="D228" s="38"/>
      <c r="E228" s="4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48"/>
      <c r="AL228" s="38"/>
      <c r="AM228" s="38"/>
      <c r="AN228" s="38"/>
      <c r="AO228" s="38"/>
      <c r="AP228" s="38"/>
      <c r="AQ228" s="38"/>
      <c r="AR228" s="38"/>
      <c r="AS228" s="38"/>
      <c r="AT228" s="38"/>
      <c r="AU228" s="48"/>
    </row>
    <row r="229" ht="15.75" customHeight="1">
      <c r="A229" s="33"/>
      <c r="B229" s="38"/>
      <c r="C229" s="48"/>
      <c r="D229" s="38"/>
      <c r="E229" s="4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48"/>
      <c r="AL229" s="38"/>
      <c r="AM229" s="38"/>
      <c r="AN229" s="38"/>
      <c r="AO229" s="38"/>
      <c r="AP229" s="38"/>
      <c r="AQ229" s="38"/>
      <c r="AR229" s="38"/>
      <c r="AS229" s="38"/>
      <c r="AT229" s="38"/>
      <c r="AU229" s="48"/>
    </row>
    <row r="230" ht="15.75" customHeight="1">
      <c r="A230" s="33"/>
      <c r="B230" s="38"/>
      <c r="C230" s="48"/>
      <c r="D230" s="38"/>
      <c r="E230" s="4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48"/>
      <c r="AL230" s="38"/>
      <c r="AM230" s="38"/>
      <c r="AN230" s="38"/>
      <c r="AO230" s="38"/>
      <c r="AP230" s="38"/>
      <c r="AQ230" s="38"/>
      <c r="AR230" s="38"/>
      <c r="AS230" s="38"/>
      <c r="AT230" s="38"/>
      <c r="AU230" s="48"/>
    </row>
    <row r="231" ht="15.75" customHeight="1">
      <c r="A231" s="33"/>
      <c r="B231" s="38"/>
      <c r="C231" s="48"/>
      <c r="D231" s="38"/>
      <c r="E231" s="4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48"/>
      <c r="AL231" s="38"/>
      <c r="AM231" s="38"/>
      <c r="AN231" s="38"/>
      <c r="AO231" s="38"/>
      <c r="AP231" s="38"/>
      <c r="AQ231" s="38"/>
      <c r="AR231" s="38"/>
      <c r="AS231" s="38"/>
      <c r="AT231" s="38"/>
      <c r="AU231" s="48"/>
    </row>
    <row r="232" ht="15.75" customHeight="1">
      <c r="A232" s="33"/>
      <c r="B232" s="38"/>
      <c r="C232" s="48"/>
      <c r="D232" s="38"/>
      <c r="E232" s="4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48"/>
      <c r="AL232" s="38"/>
      <c r="AM232" s="38"/>
      <c r="AN232" s="38"/>
      <c r="AO232" s="38"/>
      <c r="AP232" s="38"/>
      <c r="AQ232" s="38"/>
      <c r="AR232" s="38"/>
      <c r="AS232" s="38"/>
      <c r="AT232" s="38"/>
      <c r="AU232" s="48"/>
    </row>
    <row r="233" ht="15.75" customHeight="1">
      <c r="A233" s="33"/>
      <c r="B233" s="38"/>
      <c r="C233" s="48"/>
      <c r="D233" s="38"/>
      <c r="E233" s="4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48"/>
      <c r="AL233" s="38"/>
      <c r="AM233" s="38"/>
      <c r="AN233" s="38"/>
      <c r="AO233" s="38"/>
      <c r="AP233" s="38"/>
      <c r="AQ233" s="38"/>
      <c r="AR233" s="38"/>
      <c r="AS233" s="38"/>
      <c r="AT233" s="38"/>
      <c r="AU233" s="48"/>
    </row>
    <row r="234" ht="15.75" customHeight="1">
      <c r="A234" s="33"/>
      <c r="B234" s="38"/>
      <c r="C234" s="48"/>
      <c r="D234" s="38"/>
      <c r="E234" s="4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48"/>
      <c r="AL234" s="38"/>
      <c r="AM234" s="38"/>
      <c r="AN234" s="38"/>
      <c r="AO234" s="38"/>
      <c r="AP234" s="38"/>
      <c r="AQ234" s="38"/>
      <c r="AR234" s="38"/>
      <c r="AS234" s="38"/>
      <c r="AT234" s="38"/>
      <c r="AU234" s="48"/>
    </row>
    <row r="235" ht="15.75" customHeight="1">
      <c r="A235" s="33"/>
      <c r="B235" s="38"/>
      <c r="C235" s="48"/>
      <c r="D235" s="38"/>
      <c r="E235" s="4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48"/>
      <c r="AL235" s="38"/>
      <c r="AM235" s="38"/>
      <c r="AN235" s="38"/>
      <c r="AO235" s="38"/>
      <c r="AP235" s="38"/>
      <c r="AQ235" s="38"/>
      <c r="AR235" s="38"/>
      <c r="AS235" s="38"/>
      <c r="AT235" s="38"/>
      <c r="AU235" s="48"/>
    </row>
    <row r="236" ht="15.75" customHeight="1">
      <c r="A236" s="33"/>
      <c r="B236" s="38"/>
      <c r="C236" s="48"/>
      <c r="D236" s="38"/>
      <c r="E236" s="4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48"/>
      <c r="AL236" s="38"/>
      <c r="AM236" s="38"/>
      <c r="AN236" s="38"/>
      <c r="AO236" s="38"/>
      <c r="AP236" s="38"/>
      <c r="AQ236" s="38"/>
      <c r="AR236" s="38"/>
      <c r="AS236" s="38"/>
      <c r="AT236" s="38"/>
      <c r="AU236" s="48"/>
    </row>
    <row r="237" ht="15.75" customHeight="1">
      <c r="A237" s="33"/>
      <c r="B237" s="38"/>
      <c r="C237" s="48"/>
      <c r="D237" s="38"/>
      <c r="E237" s="4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48"/>
      <c r="AL237" s="38"/>
      <c r="AM237" s="38"/>
      <c r="AN237" s="38"/>
      <c r="AO237" s="38"/>
      <c r="AP237" s="38"/>
      <c r="AQ237" s="38"/>
      <c r="AR237" s="38"/>
      <c r="AS237" s="38"/>
      <c r="AT237" s="38"/>
      <c r="AU237" s="48"/>
    </row>
    <row r="238" ht="15.75" customHeight="1">
      <c r="A238" s="33"/>
      <c r="B238" s="38"/>
      <c r="C238" s="48"/>
      <c r="D238" s="38"/>
      <c r="E238" s="4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48"/>
      <c r="AL238" s="38"/>
      <c r="AM238" s="38"/>
      <c r="AN238" s="38"/>
      <c r="AO238" s="38"/>
      <c r="AP238" s="38"/>
      <c r="AQ238" s="38"/>
      <c r="AR238" s="38"/>
      <c r="AS238" s="38"/>
      <c r="AT238" s="38"/>
      <c r="AU238" s="48"/>
    </row>
    <row r="239" ht="15.75" customHeight="1">
      <c r="A239" s="33"/>
      <c r="B239" s="38"/>
      <c r="C239" s="48"/>
      <c r="D239" s="38"/>
      <c r="E239" s="4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48"/>
      <c r="AL239" s="38"/>
      <c r="AM239" s="38"/>
      <c r="AN239" s="38"/>
      <c r="AO239" s="38"/>
      <c r="AP239" s="38"/>
      <c r="AQ239" s="38"/>
      <c r="AR239" s="38"/>
      <c r="AS239" s="38"/>
      <c r="AT239" s="38"/>
      <c r="AU239" s="48"/>
    </row>
    <row r="240" ht="15.75" customHeight="1">
      <c r="A240" s="33"/>
      <c r="B240" s="38"/>
      <c r="C240" s="48"/>
      <c r="D240" s="38"/>
      <c r="E240" s="4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48"/>
      <c r="AL240" s="38"/>
      <c r="AM240" s="38"/>
      <c r="AN240" s="38"/>
      <c r="AO240" s="38"/>
      <c r="AP240" s="38"/>
      <c r="AQ240" s="38"/>
      <c r="AR240" s="38"/>
      <c r="AS240" s="38"/>
      <c r="AT240" s="38"/>
      <c r="AU240" s="48"/>
    </row>
    <row r="241" ht="15.75" customHeight="1">
      <c r="A241" s="33"/>
      <c r="B241" s="38"/>
      <c r="C241" s="48"/>
      <c r="D241" s="38"/>
      <c r="E241" s="4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48"/>
      <c r="AL241" s="38"/>
      <c r="AM241" s="38"/>
      <c r="AN241" s="38"/>
      <c r="AO241" s="38"/>
      <c r="AP241" s="38"/>
      <c r="AQ241" s="38"/>
      <c r="AR241" s="38"/>
      <c r="AS241" s="38"/>
      <c r="AT241" s="38"/>
      <c r="AU241" s="48"/>
    </row>
    <row r="242" ht="15.75" customHeight="1">
      <c r="A242" s="33"/>
      <c r="B242" s="38"/>
      <c r="C242" s="48"/>
      <c r="D242" s="38"/>
      <c r="E242" s="4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48"/>
      <c r="AL242" s="38"/>
      <c r="AM242" s="38"/>
      <c r="AN242" s="38"/>
      <c r="AO242" s="38"/>
      <c r="AP242" s="38"/>
      <c r="AQ242" s="38"/>
      <c r="AR242" s="38"/>
      <c r="AS242" s="38"/>
      <c r="AT242" s="38"/>
      <c r="AU242" s="48"/>
    </row>
    <row r="243" ht="15.75" customHeight="1">
      <c r="A243" s="33"/>
      <c r="B243" s="38"/>
      <c r="C243" s="48"/>
      <c r="D243" s="38"/>
      <c r="E243" s="4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48"/>
      <c r="AL243" s="38"/>
      <c r="AM243" s="38"/>
      <c r="AN243" s="38"/>
      <c r="AO243" s="38"/>
      <c r="AP243" s="38"/>
      <c r="AQ243" s="38"/>
      <c r="AR243" s="38"/>
      <c r="AS243" s="38"/>
      <c r="AT243" s="38"/>
      <c r="AU243" s="48"/>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3.29"/>
    <col customWidth="1" min="6" max="6" width="12.0"/>
    <col customWidth="1" min="7" max="7" width="16.29"/>
    <col customWidth="1" min="8" max="8" width="15.57"/>
    <col customWidth="1" min="9" max="9" width="17.14"/>
    <col customWidth="1" min="10" max="12" width="8.71"/>
    <col customWidth="1" min="13" max="13" width="15.29"/>
    <col customWidth="1" min="14" max="14" width="16.86"/>
    <col customWidth="1" min="15" max="15" width="11.29"/>
    <col customWidth="1" min="16" max="16" width="8.71"/>
    <col customWidth="1" min="17" max="17" width="17.57"/>
    <col customWidth="1" min="18" max="18" width="24.0"/>
    <col customWidth="1" min="19" max="19" width="21.29"/>
    <col customWidth="1" min="20" max="20" width="40.29"/>
    <col customWidth="1" min="21" max="21" width="12.29"/>
    <col customWidth="1" min="22" max="22" width="32.14"/>
    <col customWidth="1" min="23" max="23" width="37.86"/>
    <col customWidth="1" min="24" max="24" width="11.71"/>
    <col customWidth="1" min="25" max="28" width="8.71"/>
    <col customWidth="1" min="29" max="29" width="54.14"/>
  </cols>
  <sheetData>
    <row r="5">
      <c r="E5" s="3" t="s">
        <v>0</v>
      </c>
      <c r="F5" s="10"/>
      <c r="G5" s="10"/>
      <c r="H5" s="10"/>
      <c r="I5" s="10"/>
      <c r="J5" s="10"/>
      <c r="K5" s="10"/>
    </row>
    <row r="6">
      <c r="E6" s="10"/>
      <c r="F6" s="10" t="s">
        <v>13</v>
      </c>
      <c r="G6" s="10"/>
      <c r="H6" s="10"/>
      <c r="I6" s="10"/>
      <c r="J6" s="10"/>
      <c r="K6" s="10"/>
    </row>
    <row r="7">
      <c r="E7" s="10"/>
      <c r="F7" s="13" t="s">
        <v>18</v>
      </c>
      <c r="G7" s="10"/>
      <c r="H7" s="10"/>
      <c r="I7" s="10"/>
      <c r="J7" s="10"/>
      <c r="K7" s="10"/>
    </row>
    <row r="8">
      <c r="E8" s="10"/>
      <c r="F8" s="7" t="s">
        <v>25</v>
      </c>
      <c r="K8" s="10"/>
    </row>
    <row r="9">
      <c r="E9" s="10"/>
      <c r="F9" s="13" t="s">
        <v>27</v>
      </c>
      <c r="G9" s="10"/>
      <c r="H9" s="10"/>
      <c r="I9" s="10"/>
      <c r="J9" s="10"/>
      <c r="K9" s="10"/>
    </row>
    <row r="10">
      <c r="E10" s="10"/>
      <c r="F10" s="10" t="s">
        <v>29</v>
      </c>
      <c r="G10" s="10"/>
      <c r="H10" s="10"/>
      <c r="I10" s="10" t="s">
        <v>30</v>
      </c>
      <c r="J10" s="10"/>
      <c r="K10" s="10"/>
    </row>
    <row r="11">
      <c r="E11" s="10"/>
      <c r="F11" s="10" t="s">
        <v>31</v>
      </c>
      <c r="G11" s="10"/>
      <c r="H11" s="10"/>
      <c r="I11" s="10"/>
      <c r="J11" s="10"/>
      <c r="K11" s="10"/>
    </row>
    <row r="12">
      <c r="E12" s="10"/>
      <c r="F12" s="10"/>
      <c r="G12" s="10"/>
      <c r="H12" s="10"/>
      <c r="I12" s="24"/>
      <c r="J12" s="10"/>
      <c r="K12" s="10"/>
    </row>
    <row r="13">
      <c r="E13" s="10"/>
      <c r="F13" s="10"/>
      <c r="G13" s="10"/>
      <c r="H13" s="10"/>
      <c r="I13" s="10"/>
      <c r="J13" s="10"/>
      <c r="K13" s="10"/>
    </row>
    <row r="14">
      <c r="E14" s="27" t="s">
        <v>37</v>
      </c>
      <c r="F14" s="10"/>
      <c r="G14" s="10"/>
      <c r="H14" s="10"/>
      <c r="I14" s="10"/>
      <c r="J14" s="10"/>
      <c r="K14" s="10"/>
    </row>
    <row r="15">
      <c r="E15" s="10"/>
      <c r="F15" s="10" t="s">
        <v>40</v>
      </c>
      <c r="G15" s="10"/>
      <c r="H15" s="10"/>
      <c r="I15" s="10"/>
      <c r="J15" s="10"/>
      <c r="K15" s="10"/>
    </row>
    <row r="16">
      <c r="E16" s="10"/>
      <c r="F16" s="10" t="s">
        <v>41</v>
      </c>
      <c r="G16" s="10"/>
      <c r="H16" s="10"/>
      <c r="I16" s="10"/>
      <c r="J16" s="10"/>
      <c r="K16" s="10"/>
    </row>
    <row r="17">
      <c r="E17" s="10"/>
      <c r="F17" s="10"/>
      <c r="G17" s="10" t="s">
        <v>42</v>
      </c>
      <c r="H17" s="10"/>
      <c r="I17" s="10"/>
      <c r="J17" s="10"/>
      <c r="K17" s="10"/>
    </row>
    <row r="18">
      <c r="E18" s="10"/>
      <c r="F18" s="10"/>
      <c r="G18" s="10" t="s">
        <v>45</v>
      </c>
      <c r="H18" s="10"/>
      <c r="I18" s="10"/>
      <c r="J18" s="10"/>
      <c r="K18" s="10"/>
    </row>
    <row r="19">
      <c r="E19" s="10"/>
      <c r="F19" s="10"/>
      <c r="G19" s="10" t="s">
        <v>47</v>
      </c>
      <c r="H19" s="10"/>
      <c r="I19" s="10"/>
      <c r="J19" s="10"/>
      <c r="K19" s="10"/>
    </row>
    <row r="21" ht="15.75" customHeight="1">
      <c r="E21" s="36" t="s">
        <v>48</v>
      </c>
      <c r="F21" s="47"/>
    </row>
    <row r="22" ht="15.75" customHeight="1">
      <c r="F22" s="49" t="s">
        <v>55</v>
      </c>
      <c r="G22" s="7" t="s">
        <v>56</v>
      </c>
    </row>
    <row r="23" ht="15.75" customHeight="1">
      <c r="G23" s="7" t="s">
        <v>57</v>
      </c>
    </row>
    <row r="24" ht="15.75" customHeight="1">
      <c r="F24" s="47"/>
      <c r="G24" s="7" t="s">
        <v>58</v>
      </c>
      <c r="Q24" s="52"/>
      <c r="R24" s="52"/>
      <c r="S24" s="52"/>
      <c r="T24" s="52"/>
      <c r="U24" s="52"/>
      <c r="V24" s="52"/>
      <c r="W24" s="52"/>
    </row>
    <row r="25" ht="15.75" customHeight="1">
      <c r="F25" s="47"/>
      <c r="G25" s="7" t="s">
        <v>61</v>
      </c>
      <c r="O25" s="52"/>
      <c r="P25" s="52"/>
      <c r="Q25" s="52"/>
      <c r="R25" s="52"/>
      <c r="T25" s="52"/>
      <c r="U25" s="52"/>
      <c r="W25" s="52"/>
      <c r="X25" s="52"/>
    </row>
    <row r="26" ht="15.75" customHeight="1">
      <c r="F26" s="49" t="s">
        <v>62</v>
      </c>
      <c r="O26" s="52"/>
      <c r="P26" s="52"/>
      <c r="Q26" s="52"/>
      <c r="R26" s="52"/>
      <c r="S26" s="52"/>
      <c r="U26" s="52"/>
      <c r="W26" s="52"/>
    </row>
    <row r="27" ht="15.75" customHeight="1">
      <c r="G27" s="7" t="s">
        <v>63</v>
      </c>
      <c r="Q27" s="52"/>
      <c r="S27" s="52"/>
      <c r="U27" s="52"/>
    </row>
    <row r="28" ht="15.75" customHeight="1">
      <c r="G28" s="7" t="s">
        <v>64</v>
      </c>
    </row>
    <row r="29" ht="15.75" customHeight="1">
      <c r="G29" s="7" t="s">
        <v>66</v>
      </c>
    </row>
    <row r="30" ht="15.75" customHeight="1"/>
    <row r="31" ht="15.75" customHeight="1">
      <c r="E31" s="7"/>
      <c r="F31" s="55"/>
    </row>
    <row r="32" ht="15.75" customHeight="1">
      <c r="E32" s="7"/>
      <c r="F32" s="55"/>
    </row>
    <row r="33" ht="15.75" customHeight="1">
      <c r="E33" s="7"/>
      <c r="F33" s="55"/>
    </row>
    <row r="34" ht="15.75" customHeight="1">
      <c r="E34" s="7" t="s">
        <v>70</v>
      </c>
      <c r="F34" s="55">
        <v>54058.0</v>
      </c>
    </row>
    <row r="35" ht="15.0" customHeight="1"/>
    <row r="36" ht="57.0" customHeight="1">
      <c r="E36" s="70" t="s">
        <v>72</v>
      </c>
      <c r="F36" s="70" t="s">
        <v>88</v>
      </c>
    </row>
    <row r="37" ht="15.75" customHeight="1">
      <c r="E37" s="7">
        <v>50.0</v>
      </c>
      <c r="F37" s="7">
        <v>9.0</v>
      </c>
    </row>
    <row r="38" ht="15.75" customHeight="1">
      <c r="E38" s="7">
        <v>30.0</v>
      </c>
      <c r="F38" s="7">
        <v>16.0</v>
      </c>
    </row>
    <row r="39" ht="15.75" customHeight="1">
      <c r="E39" s="7">
        <v>15.0</v>
      </c>
      <c r="F39" s="7">
        <v>31.0</v>
      </c>
    </row>
    <row r="40" ht="15.75" customHeight="1">
      <c r="E40" s="7">
        <v>5.0</v>
      </c>
      <c r="F40" s="7">
        <v>93.0</v>
      </c>
    </row>
    <row r="41" ht="15.75" customHeight="1">
      <c r="E41" s="7"/>
    </row>
    <row r="42" ht="15.75" customHeight="1"/>
    <row r="43" ht="15.75" customHeight="1"/>
    <row r="44" ht="15.75" customHeight="1">
      <c r="E44" s="7" t="s">
        <v>90</v>
      </c>
      <c r="F44" s="7" t="s">
        <v>91</v>
      </c>
    </row>
    <row r="45" ht="15.75" customHeight="1">
      <c r="E45" s="7">
        <v>1.0</v>
      </c>
      <c r="F45" s="7" t="s">
        <v>92</v>
      </c>
    </row>
    <row r="46" ht="15.75" customHeight="1">
      <c r="E46" s="7">
        <v>2.0</v>
      </c>
      <c r="F46" s="7" t="s">
        <v>64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10.14"/>
    <col customWidth="1" min="3" max="3" width="12.86"/>
    <col customWidth="1" min="4" max="4" width="13.71"/>
    <col customWidth="1" min="5" max="5" width="59.14"/>
    <col customWidth="1" min="6" max="7" width="4.43"/>
    <col customWidth="1" min="8" max="8" width="5.43"/>
    <col customWidth="1" min="9" max="9" width="3.43"/>
    <col customWidth="1" min="10" max="10" width="6.29"/>
    <col customWidth="1" min="11" max="11" width="42.86"/>
    <col customWidth="1" min="12" max="56" width="8.71"/>
  </cols>
  <sheetData>
    <row r="1">
      <c r="A1" s="47" t="s">
        <v>114</v>
      </c>
      <c r="B1" s="47" t="s">
        <v>115</v>
      </c>
      <c r="C1" s="49" t="s">
        <v>116</v>
      </c>
      <c r="D1" s="49" t="s">
        <v>117</v>
      </c>
      <c r="E1" s="49" t="s">
        <v>118</v>
      </c>
      <c r="F1" s="47" t="s">
        <v>119</v>
      </c>
      <c r="G1" s="47" t="s">
        <v>120</v>
      </c>
      <c r="H1" s="49" t="s">
        <v>121</v>
      </c>
      <c r="I1" s="49" t="s">
        <v>122</v>
      </c>
      <c r="J1" s="113" t="s">
        <v>123</v>
      </c>
      <c r="K1" s="114" t="s">
        <v>124</v>
      </c>
      <c r="L1" s="7" t="s">
        <v>125</v>
      </c>
    </row>
    <row r="2">
      <c r="A2" s="115">
        <v>46226.0</v>
      </c>
      <c r="B2" s="116">
        <v>0.37916666666666665</v>
      </c>
      <c r="C2" s="7" t="s">
        <v>126</v>
      </c>
      <c r="D2" s="7"/>
      <c r="J2" s="117" t="s">
        <v>127</v>
      </c>
      <c r="K2" s="117" t="s">
        <v>128</v>
      </c>
      <c r="L2" s="7" t="s">
        <v>129</v>
      </c>
    </row>
    <row r="3" ht="15.75" customHeight="1">
      <c r="B3" s="116"/>
      <c r="C3" s="7" t="s">
        <v>130</v>
      </c>
      <c r="D3" s="7"/>
      <c r="J3" s="117" t="s">
        <v>131</v>
      </c>
      <c r="K3" s="117" t="s">
        <v>132</v>
      </c>
      <c r="L3" s="7" t="s">
        <v>133</v>
      </c>
    </row>
    <row r="4" ht="15.75" customHeight="1">
      <c r="B4" s="116">
        <v>0.38125</v>
      </c>
      <c r="C4" s="7" t="s">
        <v>134</v>
      </c>
      <c r="D4" s="7"/>
      <c r="J4" s="117" t="s">
        <v>135</v>
      </c>
      <c r="K4" s="52"/>
      <c r="L4" s="7" t="s">
        <v>136</v>
      </c>
    </row>
    <row r="5" ht="15.75" customHeight="1">
      <c r="C5" s="7" t="s">
        <v>137</v>
      </c>
      <c r="D5" s="7"/>
      <c r="J5" s="117" t="s">
        <v>138</v>
      </c>
      <c r="K5" s="52"/>
      <c r="L5" s="7" t="s">
        <v>139</v>
      </c>
    </row>
    <row r="6" ht="15.75" customHeight="1">
      <c r="B6" s="116">
        <v>0.3854166666666667</v>
      </c>
      <c r="C6" s="7" t="s">
        <v>140</v>
      </c>
      <c r="D6" s="7"/>
      <c r="J6" s="117" t="s">
        <v>141</v>
      </c>
      <c r="K6" s="52"/>
      <c r="L6" s="7" t="s">
        <v>142</v>
      </c>
    </row>
    <row r="7" ht="15.75" customHeight="1">
      <c r="B7" s="116">
        <v>0.39305555555555555</v>
      </c>
      <c r="C7" s="7" t="s">
        <v>143</v>
      </c>
      <c r="D7" s="7"/>
      <c r="J7" s="117" t="s">
        <v>144</v>
      </c>
      <c r="K7" s="117" t="s">
        <v>145</v>
      </c>
      <c r="L7" s="7" t="s">
        <v>146</v>
      </c>
    </row>
    <row r="8" ht="15.75" customHeight="1">
      <c r="C8" s="7" t="s">
        <v>147</v>
      </c>
      <c r="D8" s="7"/>
      <c r="J8" s="117" t="s">
        <v>148</v>
      </c>
      <c r="K8" s="117" t="s">
        <v>149</v>
      </c>
      <c r="L8" s="7" t="s">
        <v>151</v>
      </c>
    </row>
    <row r="9" ht="15.75" customHeight="1">
      <c r="B9" s="116">
        <v>0.41597222222222224</v>
      </c>
      <c r="C9" s="7" t="s">
        <v>152</v>
      </c>
      <c r="D9" s="7"/>
      <c r="J9" s="117" t="s">
        <v>153</v>
      </c>
      <c r="K9" s="52"/>
      <c r="L9" s="7" t="s">
        <v>154</v>
      </c>
    </row>
    <row r="10" ht="15.75" customHeight="1">
      <c r="B10" s="116">
        <v>0.4201388888888889</v>
      </c>
      <c r="C10" s="7" t="s">
        <v>155</v>
      </c>
      <c r="D10" s="7"/>
      <c r="J10" s="117" t="s">
        <v>156</v>
      </c>
      <c r="K10" s="117" t="s">
        <v>157</v>
      </c>
      <c r="L10" s="7" t="s">
        <v>158</v>
      </c>
    </row>
    <row r="11" ht="15.75" customHeight="1">
      <c r="B11" s="121">
        <v>0.42430555555555555</v>
      </c>
      <c r="C11" s="7" t="s">
        <v>159</v>
      </c>
      <c r="D11" s="7"/>
      <c r="J11" s="117" t="s">
        <v>160</v>
      </c>
      <c r="K11" s="117" t="s">
        <v>161</v>
      </c>
    </row>
    <row r="12" ht="15.75" customHeight="1"/>
    <row r="13" ht="15.75" customHeight="1">
      <c r="B13" s="116">
        <v>0.44583333333333336</v>
      </c>
      <c r="C13" s="7" t="s">
        <v>162</v>
      </c>
      <c r="D13" s="7"/>
      <c r="H13" s="7" t="s">
        <v>164</v>
      </c>
      <c r="I13" s="7" t="s">
        <v>165</v>
      </c>
      <c r="J13" s="117" t="s">
        <v>153</v>
      </c>
      <c r="K13" s="7" t="s">
        <v>166</v>
      </c>
      <c r="L13" s="7" t="s">
        <v>167</v>
      </c>
    </row>
    <row r="14" ht="15.75" customHeight="1">
      <c r="J14" s="7" t="s">
        <v>168</v>
      </c>
      <c r="K14" s="7" t="s">
        <v>169</v>
      </c>
    </row>
    <row r="15" ht="15.75" customHeight="1">
      <c r="J15" s="52"/>
      <c r="K15" s="52"/>
    </row>
    <row r="16" ht="15.75" customHeight="1">
      <c r="B16" s="116">
        <v>0.47430555555555554</v>
      </c>
      <c r="C16" s="7" t="s">
        <v>170</v>
      </c>
      <c r="D16" s="7"/>
      <c r="J16" s="7" t="s">
        <v>171</v>
      </c>
      <c r="K16" s="117" t="s">
        <v>172</v>
      </c>
      <c r="L16" s="7" t="s">
        <v>173</v>
      </c>
    </row>
    <row r="17" ht="15.75" customHeight="1"/>
    <row r="18" ht="15.75" customHeight="1"/>
    <row r="19" ht="15.75" customHeight="1">
      <c r="J19" s="117" t="s">
        <v>174</v>
      </c>
      <c r="K19" s="117" t="s">
        <v>175</v>
      </c>
      <c r="L19" s="7" t="s">
        <v>176</v>
      </c>
    </row>
    <row r="20" ht="15.75" customHeight="1">
      <c r="C20" s="7" t="s">
        <v>177</v>
      </c>
      <c r="D20" s="7"/>
      <c r="K20" s="7" t="s">
        <v>178</v>
      </c>
      <c r="L20" s="7" t="s">
        <v>179</v>
      </c>
    </row>
    <row r="21" ht="15.75" customHeight="1">
      <c r="C21" s="7" t="s">
        <v>180</v>
      </c>
      <c r="D21" s="7"/>
      <c r="J21" s="117"/>
      <c r="K21" s="7" t="s">
        <v>181</v>
      </c>
    </row>
    <row r="22" ht="15.75" customHeight="1">
      <c r="C22" s="7" t="s">
        <v>182</v>
      </c>
      <c r="D22" s="7"/>
      <c r="J22" s="52"/>
      <c r="K22" s="7" t="s">
        <v>183</v>
      </c>
      <c r="L22" s="7" t="s">
        <v>184</v>
      </c>
    </row>
    <row r="23" ht="15.75" customHeight="1">
      <c r="C23" s="7" t="s">
        <v>185</v>
      </c>
      <c r="D23" s="7"/>
      <c r="J23" s="52"/>
      <c r="K23" s="7" t="s">
        <v>186</v>
      </c>
      <c r="L23" s="7" t="s">
        <v>187</v>
      </c>
    </row>
    <row r="24" ht="15.75" customHeight="1">
      <c r="J24" s="52"/>
      <c r="K24" s="52"/>
    </row>
    <row r="25" ht="15.75" customHeight="1">
      <c r="J25" s="52"/>
      <c r="K25" s="117" t="s">
        <v>188</v>
      </c>
    </row>
    <row r="26" ht="15.75" customHeight="1">
      <c r="A26" s="148"/>
      <c r="B26" s="116"/>
      <c r="C26" s="7"/>
      <c r="D26" s="7"/>
      <c r="F26" s="7"/>
      <c r="G26" s="7"/>
      <c r="H26" s="7"/>
      <c r="I26" s="7"/>
      <c r="J26" s="117"/>
      <c r="K26" s="117"/>
      <c r="L26" s="7"/>
    </row>
    <row r="27" ht="15.75" customHeight="1">
      <c r="A27" s="148"/>
      <c r="B27" s="116"/>
      <c r="C27" s="7"/>
      <c r="D27" s="7"/>
      <c r="F27" s="7"/>
      <c r="G27" s="7"/>
      <c r="H27" s="7"/>
      <c r="I27" s="7"/>
      <c r="J27" s="117"/>
      <c r="K27" s="149" t="s">
        <v>194</v>
      </c>
      <c r="L27" s="7"/>
    </row>
    <row r="28" ht="15.75" customHeight="1">
      <c r="A28" s="148"/>
      <c r="B28" s="116"/>
      <c r="C28" s="7"/>
      <c r="D28" s="7"/>
      <c r="F28" s="7"/>
      <c r="G28" s="7"/>
      <c r="H28" s="7"/>
      <c r="I28" s="7"/>
      <c r="J28" s="117"/>
      <c r="K28" s="117"/>
      <c r="L28" s="7"/>
    </row>
    <row r="29" ht="15.75" customHeight="1">
      <c r="A29" s="148">
        <v>46234.0</v>
      </c>
      <c r="B29" s="116">
        <v>0.3958333333333333</v>
      </c>
      <c r="C29" s="7" t="s">
        <v>196</v>
      </c>
      <c r="D29" s="7" t="s">
        <v>197</v>
      </c>
      <c r="E29" s="7" t="s">
        <v>198</v>
      </c>
      <c r="F29" s="7">
        <v>1.0</v>
      </c>
      <c r="G29" s="7">
        <v>1.0</v>
      </c>
      <c r="H29" s="7" t="s">
        <v>199</v>
      </c>
      <c r="I29" s="7" t="s">
        <v>200</v>
      </c>
      <c r="J29" s="117" t="s">
        <v>201</v>
      </c>
      <c r="K29" s="117" t="s">
        <v>202</v>
      </c>
      <c r="L29" s="7" t="s">
        <v>203</v>
      </c>
    </row>
    <row r="30" ht="15.75" customHeight="1">
      <c r="B30" s="116">
        <v>0.4083333333333333</v>
      </c>
      <c r="C30" s="7" t="s">
        <v>204</v>
      </c>
      <c r="D30" s="7" t="s">
        <v>197</v>
      </c>
      <c r="E30" s="7" t="s">
        <v>205</v>
      </c>
      <c r="F30" s="7">
        <v>2.0</v>
      </c>
      <c r="G30" s="7">
        <v>2.0</v>
      </c>
      <c r="H30" s="7" t="s">
        <v>199</v>
      </c>
      <c r="I30" s="7" t="s">
        <v>200</v>
      </c>
      <c r="J30" s="117" t="s">
        <v>206</v>
      </c>
      <c r="K30" s="117" t="s">
        <v>207</v>
      </c>
      <c r="L30" s="7" t="s">
        <v>208</v>
      </c>
    </row>
    <row r="31" ht="15.75" customHeight="1">
      <c r="B31" s="116">
        <v>0.42083333333333334</v>
      </c>
      <c r="C31" s="7" t="s">
        <v>209</v>
      </c>
      <c r="D31" s="7" t="s">
        <v>197</v>
      </c>
      <c r="E31" s="7" t="s">
        <v>210</v>
      </c>
      <c r="F31" s="7">
        <v>3.0</v>
      </c>
      <c r="G31" s="7">
        <v>3.0</v>
      </c>
      <c r="H31" s="7" t="s">
        <v>211</v>
      </c>
      <c r="I31" s="7" t="s">
        <v>200</v>
      </c>
      <c r="J31" s="117" t="s">
        <v>206</v>
      </c>
      <c r="K31" s="117" t="s">
        <v>212</v>
      </c>
      <c r="L31" s="7" t="s">
        <v>213</v>
      </c>
    </row>
    <row r="32" ht="15.75" customHeight="1">
      <c r="B32" s="116">
        <v>0.43125</v>
      </c>
      <c r="C32" s="7" t="s">
        <v>214</v>
      </c>
      <c r="D32" s="7" t="s">
        <v>197</v>
      </c>
      <c r="E32" s="7" t="s">
        <v>215</v>
      </c>
      <c r="F32" s="7">
        <v>4.0</v>
      </c>
      <c r="G32" s="7">
        <v>4.0</v>
      </c>
      <c r="H32" s="7" t="s">
        <v>211</v>
      </c>
      <c r="I32" s="7" t="s">
        <v>200</v>
      </c>
      <c r="J32" s="117" t="s">
        <v>206</v>
      </c>
      <c r="K32" s="117" t="s">
        <v>216</v>
      </c>
      <c r="L32" s="7" t="s">
        <v>217</v>
      </c>
    </row>
    <row r="33" ht="15.75" customHeight="1">
      <c r="B33" s="116">
        <v>0.4486111111111111</v>
      </c>
      <c r="C33" s="7" t="s">
        <v>218</v>
      </c>
      <c r="D33" s="7" t="s">
        <v>197</v>
      </c>
      <c r="E33" s="7" t="s">
        <v>219</v>
      </c>
      <c r="F33" s="7">
        <v>5.0</v>
      </c>
      <c r="G33" s="7">
        <v>5.0</v>
      </c>
      <c r="H33" s="7" t="s">
        <v>220</v>
      </c>
      <c r="I33" s="7" t="s">
        <v>200</v>
      </c>
      <c r="J33" s="117" t="s">
        <v>206</v>
      </c>
      <c r="K33" s="7" t="s">
        <v>221</v>
      </c>
      <c r="L33" s="7" t="s">
        <v>222</v>
      </c>
    </row>
    <row r="34" ht="15.75" customHeight="1">
      <c r="B34" s="116">
        <v>0.4583333333333333</v>
      </c>
      <c r="C34" s="7" t="s">
        <v>223</v>
      </c>
      <c r="D34" s="7" t="s">
        <v>197</v>
      </c>
      <c r="E34" s="7" t="s">
        <v>224</v>
      </c>
      <c r="F34" s="7">
        <v>6.0</v>
      </c>
      <c r="G34" s="7">
        <v>6.0</v>
      </c>
      <c r="H34" s="7" t="s">
        <v>220</v>
      </c>
      <c r="I34" s="7" t="s">
        <v>200</v>
      </c>
      <c r="J34" s="117" t="s">
        <v>206</v>
      </c>
      <c r="K34" s="117" t="s">
        <v>225</v>
      </c>
      <c r="L34" s="7" t="s">
        <v>226</v>
      </c>
    </row>
    <row r="35" ht="15.75" customHeight="1">
      <c r="B35" s="116">
        <v>0.4756944444444444</v>
      </c>
      <c r="C35" s="7" t="s">
        <v>227</v>
      </c>
      <c r="D35" s="7" t="s">
        <v>197</v>
      </c>
      <c r="E35" s="7" t="s">
        <v>228</v>
      </c>
      <c r="F35" s="7">
        <v>7.0</v>
      </c>
      <c r="G35" s="7">
        <v>7.0</v>
      </c>
      <c r="H35" s="7" t="s">
        <v>229</v>
      </c>
      <c r="I35" s="7" t="s">
        <v>200</v>
      </c>
      <c r="J35" s="117" t="s">
        <v>206</v>
      </c>
      <c r="K35" s="117" t="s">
        <v>230</v>
      </c>
      <c r="L35" s="7" t="s">
        <v>231</v>
      </c>
    </row>
    <row r="36" ht="15.75" customHeight="1">
      <c r="B36" s="116">
        <v>0.4895833333333333</v>
      </c>
      <c r="C36" s="7" t="s">
        <v>232</v>
      </c>
      <c r="D36" s="7" t="s">
        <v>197</v>
      </c>
      <c r="E36" s="7" t="s">
        <v>233</v>
      </c>
      <c r="F36" s="7">
        <v>8.0</v>
      </c>
      <c r="G36" s="7">
        <v>8.0</v>
      </c>
      <c r="H36" s="7" t="s">
        <v>229</v>
      </c>
      <c r="I36" s="7" t="s">
        <v>200</v>
      </c>
      <c r="J36" s="117" t="s">
        <v>206</v>
      </c>
      <c r="K36" s="117" t="s">
        <v>225</v>
      </c>
      <c r="L36" s="7" t="s">
        <v>234</v>
      </c>
    </row>
    <row r="37" ht="15.75" customHeight="1">
      <c r="B37" s="116">
        <v>0.5</v>
      </c>
      <c r="C37" s="7" t="s">
        <v>235</v>
      </c>
      <c r="D37" s="7" t="s">
        <v>197</v>
      </c>
      <c r="E37" s="7" t="s">
        <v>236</v>
      </c>
      <c r="F37" s="7">
        <v>9.0</v>
      </c>
      <c r="G37" s="7">
        <v>9.0</v>
      </c>
      <c r="H37" s="7" t="s">
        <v>229</v>
      </c>
      <c r="I37" s="7" t="s">
        <v>200</v>
      </c>
      <c r="J37" s="117" t="s">
        <v>206</v>
      </c>
      <c r="K37" s="52"/>
      <c r="L37" s="7" t="s">
        <v>237</v>
      </c>
    </row>
    <row r="38" ht="15.75" customHeight="1">
      <c r="A38" s="7" t="s">
        <v>238</v>
      </c>
      <c r="K38" s="52"/>
    </row>
    <row r="39" ht="15.75" customHeight="1"/>
    <row r="40" ht="15.75" customHeight="1">
      <c r="B40" s="116">
        <v>0.5375</v>
      </c>
      <c r="C40" s="7" t="s">
        <v>239</v>
      </c>
      <c r="D40" s="7" t="s">
        <v>197</v>
      </c>
      <c r="E40" s="7" t="s">
        <v>240</v>
      </c>
      <c r="F40" s="7">
        <v>10.0</v>
      </c>
      <c r="G40" s="7">
        <v>10.0</v>
      </c>
      <c r="H40" s="7" t="s">
        <v>241</v>
      </c>
      <c r="I40" s="7" t="s">
        <v>200</v>
      </c>
      <c r="J40" s="117" t="s">
        <v>242</v>
      </c>
      <c r="K40" s="117" t="s">
        <v>243</v>
      </c>
      <c r="L40" s="7" t="s">
        <v>244</v>
      </c>
    </row>
    <row r="41" ht="15.75" customHeight="1">
      <c r="B41" s="116">
        <v>0.5486111111111112</v>
      </c>
      <c r="C41" s="157" t="s">
        <v>245</v>
      </c>
      <c r="D41" s="157" t="s">
        <v>197</v>
      </c>
      <c r="E41" s="157" t="s">
        <v>246</v>
      </c>
      <c r="F41" s="157">
        <v>11.0</v>
      </c>
      <c r="G41" s="157">
        <v>11.0</v>
      </c>
      <c r="H41" s="157" t="s">
        <v>241</v>
      </c>
      <c r="I41" s="157" t="s">
        <v>200</v>
      </c>
      <c r="J41" s="158" t="s">
        <v>242</v>
      </c>
      <c r="K41" s="158" t="s">
        <v>248</v>
      </c>
      <c r="L41" s="7" t="s">
        <v>249</v>
      </c>
    </row>
    <row r="42" ht="15.75" customHeight="1">
      <c r="B42" s="116">
        <v>0.5625</v>
      </c>
      <c r="C42" s="7" t="s">
        <v>250</v>
      </c>
      <c r="D42" s="7" t="s">
        <v>197</v>
      </c>
      <c r="E42" s="7" t="s">
        <v>246</v>
      </c>
      <c r="F42" s="7">
        <v>12.0</v>
      </c>
      <c r="G42" s="7">
        <v>12.0</v>
      </c>
      <c r="H42" s="7" t="s">
        <v>241</v>
      </c>
      <c r="I42" s="7" t="s">
        <v>200</v>
      </c>
      <c r="J42" s="117" t="s">
        <v>242</v>
      </c>
      <c r="K42" s="117" t="s">
        <v>243</v>
      </c>
      <c r="L42" s="7" t="s">
        <v>251</v>
      </c>
    </row>
    <row r="43" ht="15.75" customHeight="1">
      <c r="B43" s="116">
        <v>0.5729166666666666</v>
      </c>
      <c r="C43" s="157" t="s">
        <v>252</v>
      </c>
      <c r="D43" s="157" t="s">
        <v>197</v>
      </c>
      <c r="E43" s="157" t="s">
        <v>253</v>
      </c>
      <c r="F43" s="157">
        <v>13.0</v>
      </c>
      <c r="G43" s="157">
        <v>13.0</v>
      </c>
      <c r="H43" s="157" t="s">
        <v>254</v>
      </c>
      <c r="I43" s="157" t="s">
        <v>200</v>
      </c>
      <c r="J43" s="158" t="s">
        <v>242</v>
      </c>
      <c r="K43" s="158" t="s">
        <v>248</v>
      </c>
    </row>
    <row r="44" ht="15.75" customHeight="1">
      <c r="B44" s="116">
        <v>0.6020833333333333</v>
      </c>
      <c r="C44" s="7" t="s">
        <v>256</v>
      </c>
      <c r="D44" s="7" t="s">
        <v>197</v>
      </c>
      <c r="E44" s="7" t="s">
        <v>257</v>
      </c>
      <c r="F44" s="7">
        <v>14.0</v>
      </c>
      <c r="G44" s="7">
        <v>14.0</v>
      </c>
      <c r="H44" s="7" t="s">
        <v>220</v>
      </c>
      <c r="I44" s="7" t="s">
        <v>200</v>
      </c>
      <c r="J44" s="7" t="s">
        <v>242</v>
      </c>
      <c r="K44" s="7" t="s">
        <v>258</v>
      </c>
      <c r="L44" s="7" t="s">
        <v>259</v>
      </c>
    </row>
    <row r="45" ht="15.75" customHeight="1"/>
    <row r="46" ht="15.75" customHeight="1"/>
    <row r="47" ht="15.75" customHeight="1">
      <c r="K47" s="162" t="s">
        <v>260</v>
      </c>
    </row>
    <row r="48" ht="15.75" customHeight="1">
      <c r="B48" s="116">
        <v>0.6166666666666667</v>
      </c>
      <c r="C48" s="7" t="s">
        <v>261</v>
      </c>
      <c r="D48" s="7" t="s">
        <v>262</v>
      </c>
      <c r="E48" s="7" t="s">
        <v>263</v>
      </c>
      <c r="F48" s="7">
        <v>15.0</v>
      </c>
      <c r="G48" s="7">
        <v>15.0</v>
      </c>
      <c r="H48" s="7" t="s">
        <v>220</v>
      </c>
      <c r="I48" s="7" t="s">
        <v>200</v>
      </c>
      <c r="J48" s="7" t="s">
        <v>264</v>
      </c>
      <c r="K48" s="7" t="s">
        <v>265</v>
      </c>
      <c r="L48" s="7" t="s">
        <v>266</v>
      </c>
      <c r="M48" s="7" t="s">
        <v>267</v>
      </c>
    </row>
    <row r="49" ht="15.75" customHeight="1">
      <c r="B49" s="116">
        <v>0.6319444444444444</v>
      </c>
      <c r="C49" s="157" t="s">
        <v>268</v>
      </c>
      <c r="D49" s="157" t="s">
        <v>269</v>
      </c>
      <c r="E49" s="157" t="s">
        <v>270</v>
      </c>
      <c r="F49" s="157">
        <v>16.0</v>
      </c>
      <c r="G49" s="157">
        <v>16.0</v>
      </c>
      <c r="H49" s="157" t="s">
        <v>271</v>
      </c>
      <c r="I49" s="157" t="s">
        <v>200</v>
      </c>
      <c r="J49" s="157" t="s">
        <v>264</v>
      </c>
      <c r="K49" s="158" t="s">
        <v>272</v>
      </c>
      <c r="L49" s="7" t="s">
        <v>273</v>
      </c>
    </row>
    <row r="50" ht="15.75" customHeight="1">
      <c r="B50" s="116">
        <v>0.6458333333333334</v>
      </c>
      <c r="C50" s="7" t="s">
        <v>274</v>
      </c>
      <c r="D50" s="7" t="s">
        <v>275</v>
      </c>
      <c r="E50" s="7" t="s">
        <v>276</v>
      </c>
      <c r="F50" s="7">
        <v>17.0</v>
      </c>
      <c r="G50" s="7">
        <v>17.0</v>
      </c>
      <c r="H50" s="7" t="s">
        <v>271</v>
      </c>
      <c r="I50" s="7" t="s">
        <v>200</v>
      </c>
      <c r="J50" s="7" t="s">
        <v>264</v>
      </c>
      <c r="K50" s="7" t="s">
        <v>277</v>
      </c>
      <c r="L50" s="7" t="s">
        <v>278</v>
      </c>
    </row>
    <row r="51" ht="15.75" customHeight="1">
      <c r="B51" s="116">
        <v>0.6527777777777778</v>
      </c>
      <c r="C51" s="7" t="s">
        <v>279</v>
      </c>
      <c r="D51" s="7" t="s">
        <v>280</v>
      </c>
      <c r="E51" s="7" t="s">
        <v>281</v>
      </c>
      <c r="F51" s="7">
        <v>18.0</v>
      </c>
      <c r="G51" s="7">
        <v>18.0</v>
      </c>
      <c r="H51" s="7" t="s">
        <v>271</v>
      </c>
      <c r="I51" s="7" t="s">
        <v>200</v>
      </c>
      <c r="J51" s="7" t="s">
        <v>264</v>
      </c>
      <c r="K51" s="7" t="s">
        <v>282</v>
      </c>
      <c r="L51" s="7" t="s">
        <v>283</v>
      </c>
    </row>
    <row r="52" ht="15.75" customHeight="1">
      <c r="B52" s="116">
        <v>0.6666666666666666</v>
      </c>
      <c r="C52" s="7" t="s">
        <v>284</v>
      </c>
      <c r="D52" s="7" t="s">
        <v>285</v>
      </c>
      <c r="E52" s="7" t="s">
        <v>286</v>
      </c>
      <c r="F52" s="7">
        <v>19.0</v>
      </c>
      <c r="G52" s="7">
        <v>19.0</v>
      </c>
      <c r="H52" s="7" t="s">
        <v>271</v>
      </c>
      <c r="I52" s="7" t="s">
        <v>200</v>
      </c>
      <c r="J52" s="7" t="s">
        <v>264</v>
      </c>
      <c r="K52" s="117" t="s">
        <v>288</v>
      </c>
      <c r="L52" s="7" t="s">
        <v>289</v>
      </c>
    </row>
    <row r="53" ht="15.75" customHeight="1">
      <c r="B53" s="116">
        <v>0.6770833333333334</v>
      </c>
      <c r="C53" s="7" t="s">
        <v>290</v>
      </c>
      <c r="D53" s="7" t="s">
        <v>291</v>
      </c>
      <c r="E53" s="7" t="s">
        <v>292</v>
      </c>
      <c r="F53" s="7">
        <v>20.0</v>
      </c>
      <c r="G53" s="7">
        <v>20.0</v>
      </c>
      <c r="H53" s="7" t="s">
        <v>220</v>
      </c>
      <c r="I53" s="7" t="s">
        <v>200</v>
      </c>
      <c r="J53" s="7" t="s">
        <v>264</v>
      </c>
      <c r="K53" s="117" t="s">
        <v>293</v>
      </c>
      <c r="L53" s="7" t="s">
        <v>294</v>
      </c>
      <c r="M53" s="7" t="s">
        <v>295</v>
      </c>
    </row>
    <row r="54" ht="15.75" customHeight="1"/>
    <row r="55" ht="15.75" customHeight="1"/>
    <row r="56" ht="15.75" customHeight="1">
      <c r="B56" s="116">
        <v>0.6909722222222222</v>
      </c>
      <c r="C56" s="7" t="s">
        <v>296</v>
      </c>
      <c r="D56" s="7" t="s">
        <v>291</v>
      </c>
      <c r="E56" s="7" t="s">
        <v>297</v>
      </c>
      <c r="F56" s="7">
        <v>20.0</v>
      </c>
      <c r="G56" s="7">
        <v>20.0</v>
      </c>
      <c r="H56" s="7" t="s">
        <v>220</v>
      </c>
      <c r="I56" s="7" t="s">
        <v>200</v>
      </c>
      <c r="J56" s="7" t="s">
        <v>264</v>
      </c>
      <c r="K56" s="117" t="s">
        <v>298</v>
      </c>
      <c r="L56" s="7" t="s">
        <v>299</v>
      </c>
      <c r="M56" s="7" t="s">
        <v>300</v>
      </c>
    </row>
    <row r="57" ht="15.75" customHeight="1">
      <c r="J57" s="52"/>
      <c r="K57" s="52"/>
    </row>
    <row r="58" ht="15.75" customHeight="1">
      <c r="B58" s="116">
        <v>0.7159722222222222</v>
      </c>
      <c r="C58" s="7" t="s">
        <v>301</v>
      </c>
      <c r="K58" s="117" t="s">
        <v>302</v>
      </c>
    </row>
    <row r="59" ht="15.75" customHeight="1">
      <c r="J59" s="52"/>
      <c r="K59" s="52"/>
    </row>
    <row r="60" ht="15.75" customHeight="1">
      <c r="J60" s="52"/>
      <c r="K60" s="52"/>
    </row>
    <row r="61" ht="15.75" customHeight="1">
      <c r="A61" s="202">
        <v>46235.0</v>
      </c>
      <c r="B61" s="116">
        <v>0.44930555555555557</v>
      </c>
      <c r="C61" s="7" t="s">
        <v>332</v>
      </c>
      <c r="E61" s="7" t="s">
        <v>333</v>
      </c>
      <c r="H61" s="7" t="s">
        <v>334</v>
      </c>
      <c r="J61" s="52"/>
      <c r="K61" s="7" t="s">
        <v>335</v>
      </c>
    </row>
    <row r="62" ht="15.75" customHeight="1">
      <c r="C62" s="7" t="s">
        <v>336</v>
      </c>
      <c r="D62" s="7" t="s">
        <v>337</v>
      </c>
      <c r="E62" s="7" t="s">
        <v>338</v>
      </c>
      <c r="J62" s="52"/>
      <c r="K62" s="117" t="s">
        <v>339</v>
      </c>
      <c r="L62" s="7" t="s">
        <v>340</v>
      </c>
    </row>
    <row r="63" ht="15.75" customHeight="1">
      <c r="C63" s="7" t="s">
        <v>341</v>
      </c>
      <c r="D63" s="7" t="s">
        <v>342</v>
      </c>
      <c r="E63" s="7" t="s">
        <v>343</v>
      </c>
      <c r="J63" s="52"/>
      <c r="K63" s="117" t="s">
        <v>344</v>
      </c>
      <c r="L63" s="7" t="s">
        <v>345</v>
      </c>
    </row>
    <row r="64" ht="15.75" customHeight="1">
      <c r="B64" s="116">
        <v>0.4826388888888889</v>
      </c>
      <c r="C64" s="7" t="s">
        <v>346</v>
      </c>
      <c r="D64" s="7" t="s">
        <v>347</v>
      </c>
      <c r="E64" s="7" t="s">
        <v>348</v>
      </c>
      <c r="J64" s="52"/>
      <c r="K64" s="117" t="s">
        <v>349</v>
      </c>
      <c r="L64" s="7" t="s">
        <v>350</v>
      </c>
    </row>
    <row r="65" ht="15.75" customHeight="1">
      <c r="B65" s="116">
        <v>0.4861111111111111</v>
      </c>
      <c r="C65" s="7" t="s">
        <v>351</v>
      </c>
      <c r="D65" s="7" t="s">
        <v>352</v>
      </c>
      <c r="E65" s="7" t="s">
        <v>353</v>
      </c>
      <c r="J65" s="52"/>
      <c r="K65" s="117" t="s">
        <v>354</v>
      </c>
    </row>
    <row r="66" ht="15.75" customHeight="1">
      <c r="B66" s="116">
        <v>0.4930555555555556</v>
      </c>
      <c r="C66" s="7" t="s">
        <v>355</v>
      </c>
      <c r="D66" s="7" t="s">
        <v>356</v>
      </c>
      <c r="E66" s="7" t="s">
        <v>357</v>
      </c>
      <c r="J66" s="52"/>
      <c r="K66" s="117" t="s">
        <v>358</v>
      </c>
    </row>
    <row r="67" ht="15.75" customHeight="1">
      <c r="B67" s="116">
        <v>0.5</v>
      </c>
      <c r="C67" s="7" t="s">
        <v>360</v>
      </c>
      <c r="D67" s="7" t="s">
        <v>356</v>
      </c>
      <c r="E67" s="7" t="s">
        <v>361</v>
      </c>
      <c r="J67" s="52"/>
      <c r="K67" s="117" t="s">
        <v>362</v>
      </c>
      <c r="L67" s="7" t="s">
        <v>363</v>
      </c>
    </row>
    <row r="68" ht="15.75" customHeight="1"/>
    <row r="69" ht="15.75" customHeight="1">
      <c r="B69" s="116">
        <v>0.5138888888888888</v>
      </c>
      <c r="C69" s="7" t="s">
        <v>364</v>
      </c>
      <c r="D69" s="7" t="s">
        <v>365</v>
      </c>
      <c r="E69" s="7" t="s">
        <v>366</v>
      </c>
      <c r="J69" s="52"/>
      <c r="K69" s="117" t="s">
        <v>367</v>
      </c>
      <c r="L69" s="7" t="s">
        <v>368</v>
      </c>
    </row>
    <row r="70" ht="15.75" customHeight="1">
      <c r="B70" s="116">
        <v>0.5208333333333334</v>
      </c>
      <c r="C70" s="7" t="s">
        <v>369</v>
      </c>
      <c r="D70" s="7" t="s">
        <v>370</v>
      </c>
      <c r="E70" s="7" t="s">
        <v>371</v>
      </c>
      <c r="J70" s="52"/>
      <c r="K70" s="117" t="s">
        <v>372</v>
      </c>
      <c r="L70" s="7" t="s">
        <v>373</v>
      </c>
    </row>
    <row r="71" ht="15.75" customHeight="1">
      <c r="J71" s="52"/>
      <c r="K71" s="52"/>
    </row>
    <row r="72" ht="15.75" customHeight="1">
      <c r="B72" s="116">
        <v>0.5243055555555556</v>
      </c>
      <c r="C72" s="7" t="s">
        <v>374</v>
      </c>
      <c r="D72" s="7" t="s">
        <v>375</v>
      </c>
      <c r="E72" s="7" t="s">
        <v>376</v>
      </c>
      <c r="J72" s="52"/>
      <c r="K72" s="117" t="s">
        <v>377</v>
      </c>
      <c r="L72" s="7" t="s">
        <v>378</v>
      </c>
    </row>
    <row r="73" ht="15.75" customHeight="1">
      <c r="B73" s="116">
        <v>0.5416666666666666</v>
      </c>
      <c r="C73" s="7" t="s">
        <v>379</v>
      </c>
      <c r="D73" s="7" t="s">
        <v>380</v>
      </c>
      <c r="E73" s="7" t="s">
        <v>381</v>
      </c>
      <c r="J73" s="52"/>
      <c r="K73" s="117" t="s">
        <v>382</v>
      </c>
      <c r="L73" s="7" t="s">
        <v>383</v>
      </c>
    </row>
    <row r="74" ht="15.75" customHeight="1">
      <c r="B74" s="116">
        <v>0.5451388888888888</v>
      </c>
      <c r="C74" s="7" t="s">
        <v>384</v>
      </c>
      <c r="D74" s="7" t="s">
        <v>385</v>
      </c>
      <c r="E74" s="7" t="s">
        <v>386</v>
      </c>
      <c r="J74" s="52"/>
      <c r="K74" s="117" t="s">
        <v>387</v>
      </c>
      <c r="L74" s="7" t="s">
        <v>388</v>
      </c>
      <c r="M74" s="7" t="s">
        <v>389</v>
      </c>
    </row>
    <row r="75" ht="15.75" customHeight="1">
      <c r="J75" s="52"/>
      <c r="K75" s="52"/>
    </row>
    <row r="76" ht="15.75" customHeight="1">
      <c r="B76" s="116">
        <v>0.55</v>
      </c>
      <c r="C76" s="7" t="s">
        <v>390</v>
      </c>
      <c r="D76" s="7" t="s">
        <v>391</v>
      </c>
      <c r="E76" s="7" t="s">
        <v>392</v>
      </c>
      <c r="J76" s="52"/>
      <c r="K76" s="7" t="s">
        <v>393</v>
      </c>
      <c r="L76" s="7" t="s">
        <v>394</v>
      </c>
    </row>
    <row r="77" ht="15.75" customHeight="1">
      <c r="B77" s="116">
        <v>0.5555555555555556</v>
      </c>
      <c r="C77" s="7" t="s">
        <v>395</v>
      </c>
      <c r="D77" s="7" t="s">
        <v>396</v>
      </c>
      <c r="E77" s="7" t="s">
        <v>397</v>
      </c>
      <c r="J77" s="52"/>
      <c r="K77" s="117" t="s">
        <v>398</v>
      </c>
      <c r="L77" s="7" t="s">
        <v>400</v>
      </c>
      <c r="M77" s="7" t="s">
        <v>389</v>
      </c>
    </row>
    <row r="78" ht="15.75" customHeight="1">
      <c r="B78" s="116">
        <v>0.5666666666666667</v>
      </c>
      <c r="C78" s="7" t="s">
        <v>401</v>
      </c>
      <c r="D78" s="7" t="s">
        <v>402</v>
      </c>
      <c r="E78" s="7" t="s">
        <v>403</v>
      </c>
      <c r="J78" s="52"/>
      <c r="K78" s="7" t="s">
        <v>404</v>
      </c>
      <c r="L78" s="7" t="s">
        <v>405</v>
      </c>
    </row>
    <row r="79" ht="15.75" customHeight="1">
      <c r="B79" s="116">
        <v>0.5729166666666666</v>
      </c>
      <c r="C79" s="7" t="s">
        <v>407</v>
      </c>
      <c r="D79" s="7" t="s">
        <v>408</v>
      </c>
      <c r="E79" s="7" t="s">
        <v>409</v>
      </c>
      <c r="J79" s="52"/>
      <c r="K79" s="7" t="s">
        <v>411</v>
      </c>
      <c r="L79" s="7" t="s">
        <v>412</v>
      </c>
    </row>
    <row r="80" ht="15.75" customHeight="1">
      <c r="B80" s="116">
        <v>0.5784722222222223</v>
      </c>
      <c r="C80" s="7" t="s">
        <v>413</v>
      </c>
      <c r="D80" s="7" t="s">
        <v>414</v>
      </c>
      <c r="E80" s="7" t="s">
        <v>415</v>
      </c>
      <c r="J80" s="52"/>
      <c r="K80" s="7" t="s">
        <v>416</v>
      </c>
      <c r="L80" s="7" t="s">
        <v>417</v>
      </c>
    </row>
    <row r="81" ht="15.75" customHeight="1">
      <c r="J81" s="52"/>
    </row>
    <row r="82" ht="15.75" customHeight="1">
      <c r="B82" s="116">
        <v>0.5833333333333334</v>
      </c>
      <c r="C82" s="7" t="s">
        <v>418</v>
      </c>
      <c r="D82" s="7" t="s">
        <v>419</v>
      </c>
      <c r="E82" s="7" t="s">
        <v>420</v>
      </c>
      <c r="J82" s="52"/>
      <c r="K82" s="7" t="s">
        <v>421</v>
      </c>
      <c r="L82" s="7" t="s">
        <v>422</v>
      </c>
    </row>
    <row r="83" ht="15.75" customHeight="1">
      <c r="B83" s="116">
        <v>0.5902777777777778</v>
      </c>
      <c r="C83" s="7" t="s">
        <v>423</v>
      </c>
      <c r="D83" s="7" t="s">
        <v>424</v>
      </c>
      <c r="E83" s="7" t="s">
        <v>425</v>
      </c>
      <c r="J83" s="52"/>
      <c r="K83" s="117" t="s">
        <v>426</v>
      </c>
      <c r="L83" s="7" t="s">
        <v>427</v>
      </c>
    </row>
    <row r="84" ht="15.75" customHeight="1">
      <c r="B84" s="116">
        <v>0.59375</v>
      </c>
      <c r="C84" s="7" t="s">
        <v>428</v>
      </c>
      <c r="D84" s="7" t="s">
        <v>429</v>
      </c>
      <c r="E84" s="7" t="s">
        <v>430</v>
      </c>
      <c r="J84" s="52"/>
      <c r="K84" s="7" t="s">
        <v>431</v>
      </c>
      <c r="L84" s="7" t="s">
        <v>432</v>
      </c>
    </row>
    <row r="85" ht="15.75" customHeight="1">
      <c r="J85" s="52"/>
    </row>
    <row r="86" ht="15.75" customHeight="1">
      <c r="D86" s="211" t="s">
        <v>434</v>
      </c>
      <c r="E86" s="211"/>
      <c r="F86" s="212"/>
      <c r="G86" s="212"/>
      <c r="H86" s="212"/>
      <c r="I86" s="215"/>
    </row>
    <row r="87" ht="15.75" customHeight="1">
      <c r="B87" s="116">
        <v>0.5986111111111111</v>
      </c>
      <c r="C87" s="7" t="s">
        <v>444</v>
      </c>
      <c r="D87" s="7" t="s">
        <v>445</v>
      </c>
      <c r="E87" s="7" t="s">
        <v>446</v>
      </c>
      <c r="J87" s="52"/>
      <c r="K87" s="7" t="s">
        <v>448</v>
      </c>
      <c r="L87" s="7" t="s">
        <v>449</v>
      </c>
    </row>
    <row r="88" ht="15.75" customHeight="1">
      <c r="B88" s="116">
        <v>0.6020833333333333</v>
      </c>
      <c r="C88" s="7" t="s">
        <v>450</v>
      </c>
      <c r="D88" s="7" t="s">
        <v>451</v>
      </c>
      <c r="E88" s="7" t="s">
        <v>452</v>
      </c>
      <c r="J88" s="52"/>
      <c r="K88" s="7" t="s">
        <v>453</v>
      </c>
      <c r="L88" s="7" t="s">
        <v>454</v>
      </c>
    </row>
    <row r="89" ht="15.75" customHeight="1">
      <c r="B89" s="116">
        <v>0.6076388888888888</v>
      </c>
      <c r="C89" s="7" t="s">
        <v>455</v>
      </c>
      <c r="D89" s="7" t="s">
        <v>457</v>
      </c>
      <c r="E89" s="7" t="s">
        <v>458</v>
      </c>
      <c r="J89" s="52"/>
      <c r="K89" s="7" t="s">
        <v>459</v>
      </c>
      <c r="L89" s="7" t="s">
        <v>460</v>
      </c>
    </row>
    <row r="90" ht="15.75" customHeight="1">
      <c r="B90" s="116">
        <v>0.6166666666666667</v>
      </c>
      <c r="C90" s="7" t="s">
        <v>455</v>
      </c>
      <c r="D90" s="7" t="s">
        <v>457</v>
      </c>
      <c r="E90" s="7" t="s">
        <v>462</v>
      </c>
      <c r="J90" s="52"/>
      <c r="K90" s="7" t="s">
        <v>463</v>
      </c>
      <c r="L90" s="7" t="s">
        <v>464</v>
      </c>
    </row>
    <row r="91" ht="15.75" customHeight="1">
      <c r="J91" s="52"/>
      <c r="K91" s="52"/>
      <c r="L91" s="7" t="s">
        <v>466</v>
      </c>
    </row>
    <row r="92" ht="15.75" customHeight="1">
      <c r="J92" s="52"/>
      <c r="K92" s="52"/>
    </row>
    <row r="93" ht="15.75" customHeight="1">
      <c r="J93" s="52"/>
      <c r="K93" s="117"/>
    </row>
    <row r="94" ht="15.75" customHeight="1">
      <c r="A94" s="223">
        <v>46236.0</v>
      </c>
      <c r="B94" s="116">
        <v>0.42083333333333334</v>
      </c>
      <c r="C94" s="7" t="s">
        <v>471</v>
      </c>
      <c r="D94" s="7" t="s">
        <v>472</v>
      </c>
      <c r="E94" s="7" t="s">
        <v>473</v>
      </c>
      <c r="J94" s="52"/>
      <c r="K94" s="117" t="s">
        <v>475</v>
      </c>
      <c r="L94" s="7" t="s">
        <v>476</v>
      </c>
    </row>
    <row r="95" ht="15.75" customHeight="1">
      <c r="B95" s="116">
        <v>0.4597222222222222</v>
      </c>
      <c r="C95" s="7" t="s">
        <v>477</v>
      </c>
      <c r="D95" s="7" t="s">
        <v>478</v>
      </c>
      <c r="E95" s="7" t="s">
        <v>479</v>
      </c>
      <c r="J95" s="52"/>
      <c r="K95" s="117" t="s">
        <v>480</v>
      </c>
      <c r="L95" s="7" t="s">
        <v>481</v>
      </c>
    </row>
    <row r="96" ht="15.75" customHeight="1">
      <c r="B96" s="116">
        <v>0.46805555555555556</v>
      </c>
      <c r="C96" s="7" t="s">
        <v>482</v>
      </c>
      <c r="D96" s="7" t="s">
        <v>483</v>
      </c>
      <c r="E96" s="7" t="s">
        <v>484</v>
      </c>
      <c r="J96" s="52"/>
      <c r="K96" s="117" t="s">
        <v>485</v>
      </c>
      <c r="L96" s="7" t="s">
        <v>486</v>
      </c>
    </row>
    <row r="97" ht="15.75" customHeight="1">
      <c r="B97" s="116">
        <v>0.475</v>
      </c>
      <c r="C97" s="7" t="s">
        <v>487</v>
      </c>
      <c r="D97" s="7" t="s">
        <v>488</v>
      </c>
      <c r="E97" s="7" t="s">
        <v>489</v>
      </c>
      <c r="J97" s="52"/>
      <c r="K97" s="117" t="s">
        <v>490</v>
      </c>
      <c r="L97" s="7" t="s">
        <v>491</v>
      </c>
    </row>
    <row r="98" ht="15.75" customHeight="1">
      <c r="B98" s="121">
        <v>0.48194444444444445</v>
      </c>
      <c r="C98" s="7" t="s">
        <v>492</v>
      </c>
      <c r="D98" s="7" t="s">
        <v>493</v>
      </c>
      <c r="E98" s="7" t="s">
        <v>495</v>
      </c>
      <c r="J98" s="52"/>
      <c r="K98" s="117" t="s">
        <v>496</v>
      </c>
      <c r="L98" s="7" t="s">
        <v>497</v>
      </c>
    </row>
    <row r="99" ht="15.75" customHeight="1">
      <c r="B99" s="121">
        <v>0.48819444444444443</v>
      </c>
      <c r="C99" s="7" t="s">
        <v>498</v>
      </c>
      <c r="D99" s="7" t="s">
        <v>499</v>
      </c>
      <c r="E99" s="7" t="s">
        <v>500</v>
      </c>
      <c r="J99" s="52"/>
      <c r="K99" s="117" t="s">
        <v>501</v>
      </c>
      <c r="L99" s="7" t="s">
        <v>502</v>
      </c>
    </row>
    <row r="100" ht="15.75" customHeight="1">
      <c r="B100" s="121">
        <v>0.49166666666666664</v>
      </c>
      <c r="C100" s="7" t="s">
        <v>504</v>
      </c>
      <c r="D100" s="7" t="s">
        <v>506</v>
      </c>
      <c r="E100" s="7" t="s">
        <v>507</v>
      </c>
      <c r="J100" s="52"/>
      <c r="K100" s="7" t="s">
        <v>510</v>
      </c>
      <c r="L100" s="7" t="s">
        <v>511</v>
      </c>
    </row>
    <row r="101" ht="15.75" customHeight="1">
      <c r="B101" s="121">
        <v>0.4965277777777778</v>
      </c>
      <c r="C101" s="7" t="s">
        <v>515</v>
      </c>
      <c r="D101" s="7" t="s">
        <v>516</v>
      </c>
      <c r="E101" s="7" t="s">
        <v>518</v>
      </c>
      <c r="J101" s="52"/>
      <c r="K101" s="7" t="s">
        <v>519</v>
      </c>
      <c r="L101" s="7" t="s">
        <v>521</v>
      </c>
    </row>
    <row r="102" ht="15.75" customHeight="1">
      <c r="B102" s="121">
        <v>0.5048611111111111</v>
      </c>
      <c r="C102" s="7" t="s">
        <v>523</v>
      </c>
      <c r="D102" s="7" t="s">
        <v>525</v>
      </c>
      <c r="E102" s="7" t="s">
        <v>526</v>
      </c>
      <c r="J102" s="52"/>
      <c r="K102" s="117" t="s">
        <v>527</v>
      </c>
      <c r="L102" s="7" t="s">
        <v>528</v>
      </c>
    </row>
    <row r="103" ht="15.75" customHeight="1">
      <c r="B103" s="121">
        <v>0.5104166666666666</v>
      </c>
      <c r="C103" s="7" t="s">
        <v>530</v>
      </c>
      <c r="D103" s="7" t="s">
        <v>531</v>
      </c>
      <c r="E103" s="7" t="s">
        <v>531</v>
      </c>
      <c r="J103" s="52"/>
      <c r="K103" s="117" t="s">
        <v>532</v>
      </c>
      <c r="L103" s="7" t="s">
        <v>533</v>
      </c>
    </row>
    <row r="104" ht="15.75" customHeight="1">
      <c r="B104" s="121">
        <v>0.5208333333333334</v>
      </c>
      <c r="C104" s="7" t="s">
        <v>536</v>
      </c>
      <c r="D104" s="7" t="s">
        <v>537</v>
      </c>
      <c r="E104" s="7" t="s">
        <v>537</v>
      </c>
      <c r="J104" s="52"/>
      <c r="K104" s="117" t="s">
        <v>539</v>
      </c>
      <c r="L104" s="7" t="s">
        <v>540</v>
      </c>
    </row>
    <row r="105" ht="15.75" customHeight="1">
      <c r="B105" s="121">
        <v>0.5236111111111111</v>
      </c>
      <c r="C105" s="7" t="s">
        <v>542</v>
      </c>
      <c r="D105" s="7" t="s">
        <v>543</v>
      </c>
      <c r="E105" s="7" t="s">
        <v>543</v>
      </c>
      <c r="J105" s="52"/>
      <c r="K105" s="117" t="s">
        <v>544</v>
      </c>
      <c r="L105" s="7" t="s">
        <v>545</v>
      </c>
    </row>
    <row r="106" ht="15.75" customHeight="1">
      <c r="B106" s="121">
        <v>0.5291666666666667</v>
      </c>
      <c r="C106" s="7" t="s">
        <v>548</v>
      </c>
      <c r="D106" s="7" t="s">
        <v>550</v>
      </c>
      <c r="E106" s="7" t="s">
        <v>550</v>
      </c>
      <c r="J106" s="52"/>
      <c r="K106" s="7" t="s">
        <v>552</v>
      </c>
      <c r="L106" s="7" t="s">
        <v>553</v>
      </c>
    </row>
    <row r="107" ht="15.75" customHeight="1">
      <c r="B107" s="121">
        <v>0.5368055555555555</v>
      </c>
      <c r="C107" s="7" t="s">
        <v>554</v>
      </c>
      <c r="D107" s="7" t="s">
        <v>555</v>
      </c>
      <c r="E107" s="7" t="s">
        <v>555</v>
      </c>
      <c r="J107" s="52"/>
      <c r="K107" s="117" t="s">
        <v>556</v>
      </c>
      <c r="L107" s="7" t="s">
        <v>557</v>
      </c>
    </row>
    <row r="108" ht="15.75" customHeight="1">
      <c r="B108" s="116">
        <v>0.5416666666666666</v>
      </c>
      <c r="C108" s="7" t="s">
        <v>558</v>
      </c>
      <c r="D108" s="7" t="s">
        <v>550</v>
      </c>
      <c r="E108" s="7" t="s">
        <v>559</v>
      </c>
      <c r="J108" s="52"/>
      <c r="K108" s="117" t="s">
        <v>560</v>
      </c>
    </row>
    <row r="109" ht="15.75" customHeight="1">
      <c r="B109" s="116">
        <v>0.5520833333333334</v>
      </c>
      <c r="C109" s="7" t="s">
        <v>561</v>
      </c>
      <c r="D109" s="7" t="s">
        <v>562</v>
      </c>
      <c r="E109" s="7" t="s">
        <v>562</v>
      </c>
      <c r="J109" s="52"/>
      <c r="K109" s="117" t="s">
        <v>565</v>
      </c>
      <c r="L109" s="7" t="s">
        <v>566</v>
      </c>
    </row>
    <row r="110" ht="15.75" customHeight="1">
      <c r="B110" s="116">
        <v>0.5777777777777777</v>
      </c>
      <c r="C110" s="7" t="s">
        <v>567</v>
      </c>
      <c r="D110" s="7" t="s">
        <v>568</v>
      </c>
      <c r="E110" s="7" t="s">
        <v>568</v>
      </c>
      <c r="K110" s="7" t="s">
        <v>569</v>
      </c>
      <c r="L110" s="7" t="s">
        <v>570</v>
      </c>
    </row>
    <row r="111" ht="15.75" customHeight="1">
      <c r="B111" s="116">
        <v>0.5833333333333334</v>
      </c>
      <c r="C111" s="7" t="s">
        <v>571</v>
      </c>
      <c r="D111" s="7" t="s">
        <v>572</v>
      </c>
      <c r="E111" s="7" t="s">
        <v>572</v>
      </c>
      <c r="J111" s="52"/>
      <c r="K111" s="7" t="s">
        <v>573</v>
      </c>
      <c r="L111" s="7" t="s">
        <v>574</v>
      </c>
    </row>
    <row r="112" ht="15.75" customHeight="1">
      <c r="B112" s="116"/>
      <c r="J112" s="52"/>
    </row>
    <row r="113" ht="15.75" customHeight="1"/>
    <row r="114" ht="15.75" customHeight="1">
      <c r="B114" s="116">
        <v>0.4166666666666667</v>
      </c>
      <c r="C114" s="7" t="s">
        <v>575</v>
      </c>
      <c r="D114" s="7" t="s">
        <v>576</v>
      </c>
      <c r="E114" s="7" t="s">
        <v>577</v>
      </c>
      <c r="F114" s="7">
        <v>1.0</v>
      </c>
      <c r="G114" s="7">
        <v>1.0</v>
      </c>
      <c r="H114" s="7">
        <v>0.508</v>
      </c>
      <c r="I114" s="7" t="s">
        <v>578</v>
      </c>
      <c r="J114" s="117" t="s">
        <v>579</v>
      </c>
      <c r="K114" s="117" t="s">
        <v>580</v>
      </c>
      <c r="L114" s="7" t="s">
        <v>581</v>
      </c>
    </row>
    <row r="115" ht="15.75" customHeight="1">
      <c r="B115" s="116">
        <v>0.4236111111111111</v>
      </c>
      <c r="C115" s="7" t="s">
        <v>84</v>
      </c>
      <c r="D115" s="7" t="s">
        <v>576</v>
      </c>
      <c r="E115" s="7" t="s">
        <v>582</v>
      </c>
      <c r="F115" s="7">
        <v>2.0</v>
      </c>
      <c r="G115" s="7">
        <v>2.0</v>
      </c>
      <c r="H115" s="7">
        <v>0.508</v>
      </c>
      <c r="I115" s="7" t="s">
        <v>578</v>
      </c>
      <c r="J115" s="117" t="s">
        <v>579</v>
      </c>
      <c r="K115" s="7" t="s">
        <v>583</v>
      </c>
      <c r="L115" s="7" t="s">
        <v>584</v>
      </c>
    </row>
    <row r="116" ht="15.75" customHeight="1"/>
    <row r="117" ht="15.75" customHeight="1">
      <c r="B117" s="116">
        <v>0.4305555555555556</v>
      </c>
      <c r="C117" s="7" t="s">
        <v>586</v>
      </c>
      <c r="D117" s="7" t="s">
        <v>587</v>
      </c>
      <c r="E117" s="7" t="s">
        <v>588</v>
      </c>
      <c r="F117" s="7">
        <v>3.0</v>
      </c>
      <c r="G117" s="7">
        <v>3.0</v>
      </c>
      <c r="H117" s="7">
        <v>0.508</v>
      </c>
      <c r="I117" s="7" t="s">
        <v>578</v>
      </c>
      <c r="J117" s="117" t="s">
        <v>579</v>
      </c>
      <c r="K117" s="117" t="s">
        <v>589</v>
      </c>
      <c r="L117" s="7" t="s">
        <v>590</v>
      </c>
    </row>
    <row r="118" ht="15.75" customHeight="1">
      <c r="B118" s="116">
        <v>0.43819444444444444</v>
      </c>
      <c r="C118" s="7" t="s">
        <v>591</v>
      </c>
      <c r="D118" s="7" t="s">
        <v>592</v>
      </c>
      <c r="E118" s="7" t="s">
        <v>593</v>
      </c>
      <c r="F118" s="7">
        <v>4.0</v>
      </c>
      <c r="G118" s="7">
        <v>4.0</v>
      </c>
      <c r="H118" s="7">
        <v>0.508</v>
      </c>
      <c r="I118" s="7" t="s">
        <v>578</v>
      </c>
      <c r="J118" s="117" t="s">
        <v>579</v>
      </c>
      <c r="K118" s="117" t="s">
        <v>594</v>
      </c>
      <c r="L118" s="7" t="s">
        <v>596</v>
      </c>
    </row>
    <row r="119" ht="15.75" customHeight="1">
      <c r="B119" s="116">
        <v>0.46458333333333335</v>
      </c>
      <c r="C119" s="7" t="s">
        <v>597</v>
      </c>
      <c r="D119" s="237" t="s">
        <v>598</v>
      </c>
      <c r="E119" s="237" t="s">
        <v>599</v>
      </c>
      <c r="F119" s="7">
        <v>5.0</v>
      </c>
      <c r="G119" s="7">
        <v>5.0</v>
      </c>
      <c r="H119" s="7">
        <v>0.508</v>
      </c>
      <c r="I119" s="7" t="s">
        <v>578</v>
      </c>
      <c r="J119" s="117" t="s">
        <v>225</v>
      </c>
      <c r="K119" s="117" t="s">
        <v>600</v>
      </c>
      <c r="L119" s="7" t="s">
        <v>601</v>
      </c>
    </row>
    <row r="120" ht="15.75" customHeight="1">
      <c r="B120" s="116">
        <v>0.4722222222222222</v>
      </c>
      <c r="C120" s="7" t="s">
        <v>84</v>
      </c>
      <c r="D120" s="7" t="s">
        <v>602</v>
      </c>
      <c r="E120" s="7" t="s">
        <v>603</v>
      </c>
      <c r="F120" s="7">
        <v>6.0</v>
      </c>
      <c r="G120" s="7">
        <v>6.0</v>
      </c>
      <c r="H120" s="7">
        <v>1.0</v>
      </c>
      <c r="I120" s="7" t="s">
        <v>578</v>
      </c>
      <c r="J120" s="117" t="s">
        <v>225</v>
      </c>
      <c r="K120" s="117" t="s">
        <v>604</v>
      </c>
      <c r="L120" s="7" t="s">
        <v>605</v>
      </c>
    </row>
    <row r="121" ht="15.75" customHeight="1">
      <c r="B121" s="116">
        <v>0.4895833333333333</v>
      </c>
      <c r="C121" s="7" t="s">
        <v>606</v>
      </c>
      <c r="D121" s="237" t="s">
        <v>607</v>
      </c>
      <c r="E121" s="237" t="s">
        <v>608</v>
      </c>
      <c r="F121" s="7">
        <v>7.0</v>
      </c>
      <c r="G121" s="7">
        <v>7.0</v>
      </c>
      <c r="H121" s="7">
        <v>1.0</v>
      </c>
      <c r="I121" s="7" t="s">
        <v>578</v>
      </c>
      <c r="J121" s="52"/>
      <c r="K121" s="117" t="s">
        <v>609</v>
      </c>
      <c r="L121" s="7" t="s">
        <v>610</v>
      </c>
    </row>
    <row r="122" ht="15.75" customHeight="1">
      <c r="B122" s="116">
        <v>0.5</v>
      </c>
      <c r="C122" s="7" t="s">
        <v>611</v>
      </c>
      <c r="D122" s="237" t="s">
        <v>612</v>
      </c>
      <c r="E122" s="237" t="s">
        <v>613</v>
      </c>
      <c r="F122" s="7">
        <v>8.0</v>
      </c>
      <c r="G122" s="7">
        <v>8.0</v>
      </c>
      <c r="H122" s="7">
        <v>1.15</v>
      </c>
      <c r="I122" s="7" t="s">
        <v>578</v>
      </c>
      <c r="J122" s="52"/>
      <c r="K122" s="117" t="s">
        <v>614</v>
      </c>
      <c r="L122" s="7" t="s">
        <v>615</v>
      </c>
    </row>
    <row r="123" ht="15.75" customHeight="1">
      <c r="J123" s="52"/>
      <c r="K123" s="52"/>
    </row>
    <row r="124" ht="15.75" customHeight="1">
      <c r="A124" s="7" t="s">
        <v>616</v>
      </c>
      <c r="J124" s="52"/>
      <c r="K124" s="52"/>
    </row>
    <row r="125" ht="15.75" customHeight="1">
      <c r="B125" s="116">
        <v>0.5416666666666666</v>
      </c>
      <c r="C125" s="7" t="s">
        <v>617</v>
      </c>
      <c r="D125" s="7" t="s">
        <v>618</v>
      </c>
      <c r="E125" s="7" t="s">
        <v>619</v>
      </c>
      <c r="F125" s="7">
        <v>9.0</v>
      </c>
      <c r="G125" s="7">
        <v>9.0</v>
      </c>
      <c r="H125" s="7">
        <v>1.15</v>
      </c>
      <c r="I125" s="7" t="s">
        <v>578</v>
      </c>
      <c r="J125" s="52"/>
      <c r="K125" s="117" t="s">
        <v>620</v>
      </c>
      <c r="L125" s="7" t="s">
        <v>621</v>
      </c>
    </row>
    <row r="126" ht="15.75" customHeight="1">
      <c r="B126" s="116">
        <v>0.5625</v>
      </c>
      <c r="C126" s="7" t="s">
        <v>622</v>
      </c>
      <c r="D126" s="237" t="s">
        <v>623</v>
      </c>
      <c r="E126" s="237" t="s">
        <v>624</v>
      </c>
      <c r="F126" s="7">
        <v>10.0</v>
      </c>
      <c r="G126" s="7">
        <v>10.0</v>
      </c>
      <c r="H126" s="7">
        <v>1.15</v>
      </c>
      <c r="I126" s="7" t="s">
        <v>578</v>
      </c>
      <c r="J126" s="52"/>
      <c r="K126" s="117" t="s">
        <v>625</v>
      </c>
      <c r="L126" s="7" t="s">
        <v>626</v>
      </c>
    </row>
    <row r="127" ht="15.75" customHeight="1">
      <c r="B127" s="238">
        <v>0.5729166666666666</v>
      </c>
      <c r="C127" s="13" t="s">
        <v>627</v>
      </c>
      <c r="D127" s="239" t="s">
        <v>628</v>
      </c>
      <c r="E127" s="239" t="s">
        <v>629</v>
      </c>
      <c r="F127" s="240">
        <v>11.0</v>
      </c>
      <c r="G127" s="240">
        <v>11.0</v>
      </c>
      <c r="H127" s="240">
        <v>1.0</v>
      </c>
      <c r="I127" s="10" t="s">
        <v>578</v>
      </c>
      <c r="J127" s="52"/>
      <c r="K127" s="117" t="s">
        <v>625</v>
      </c>
      <c r="L127" s="7" t="s">
        <v>630</v>
      </c>
    </row>
    <row r="128" ht="15.75" customHeight="1">
      <c r="B128" s="116">
        <v>0.5833333333333334</v>
      </c>
      <c r="C128" s="7" t="s">
        <v>631</v>
      </c>
      <c r="D128" s="239" t="s">
        <v>632</v>
      </c>
      <c r="E128" s="239" t="s">
        <v>633</v>
      </c>
      <c r="F128" s="240">
        <v>12.0</v>
      </c>
      <c r="G128" s="240">
        <v>12.0</v>
      </c>
      <c r="H128" s="240">
        <v>0.508</v>
      </c>
      <c r="I128" s="10" t="s">
        <v>578</v>
      </c>
      <c r="J128" s="52"/>
      <c r="K128" s="117" t="s">
        <v>634</v>
      </c>
      <c r="L128" s="7" t="s">
        <v>635</v>
      </c>
    </row>
    <row r="129" ht="15.75" customHeight="1">
      <c r="B129" s="116">
        <v>0.5972222222222222</v>
      </c>
      <c r="C129" s="7" t="s">
        <v>636</v>
      </c>
      <c r="D129" s="239" t="s">
        <v>637</v>
      </c>
      <c r="E129" s="239" t="s">
        <v>638</v>
      </c>
      <c r="F129" s="7">
        <v>13.0</v>
      </c>
      <c r="G129" s="7">
        <v>13.0</v>
      </c>
      <c r="H129" s="240">
        <v>0.508</v>
      </c>
      <c r="I129" s="10" t="s">
        <v>578</v>
      </c>
      <c r="J129" s="52"/>
      <c r="K129" s="117" t="s">
        <v>639</v>
      </c>
      <c r="L129" s="7" t="s">
        <v>640</v>
      </c>
    </row>
    <row r="130" ht="15.75" customHeight="1">
      <c r="B130" s="116">
        <v>0.6111111111111112</v>
      </c>
      <c r="C130" s="7" t="s">
        <v>641</v>
      </c>
      <c r="D130" s="239" t="s">
        <v>642</v>
      </c>
      <c r="E130" s="239" t="s">
        <v>643</v>
      </c>
      <c r="F130" s="7">
        <v>14.0</v>
      </c>
      <c r="G130" s="7">
        <v>14.0</v>
      </c>
      <c r="H130" s="7">
        <v>1.0</v>
      </c>
      <c r="I130" s="10" t="s">
        <v>578</v>
      </c>
      <c r="J130" s="52"/>
      <c r="K130" s="117" t="s">
        <v>644</v>
      </c>
      <c r="L130" s="7" t="s">
        <v>645</v>
      </c>
    </row>
    <row r="131" ht="15.75" customHeight="1">
      <c r="B131" s="116">
        <v>0.625</v>
      </c>
      <c r="C131" s="7" t="s">
        <v>646</v>
      </c>
      <c r="D131" s="239" t="s">
        <v>647</v>
      </c>
      <c r="E131" s="239" t="s">
        <v>648</v>
      </c>
      <c r="F131" s="7">
        <v>15.0</v>
      </c>
      <c r="G131" s="7">
        <v>15.0</v>
      </c>
      <c r="H131" s="7">
        <v>1.15</v>
      </c>
      <c r="I131" s="10" t="s">
        <v>578</v>
      </c>
      <c r="K131" s="7" t="s">
        <v>644</v>
      </c>
      <c r="L131" s="7" t="s">
        <v>650</v>
      </c>
    </row>
    <row r="132" ht="15.75" customHeight="1">
      <c r="J132" s="52"/>
      <c r="K132" s="52"/>
    </row>
    <row r="133" ht="15.75" customHeight="1">
      <c r="J133" s="52"/>
      <c r="K133" s="117"/>
    </row>
    <row r="134" ht="15.75" customHeight="1">
      <c r="J134" s="52"/>
      <c r="K134" s="52"/>
    </row>
    <row r="135" ht="15.75" customHeight="1">
      <c r="J135" s="52"/>
      <c r="K135" s="52"/>
    </row>
    <row r="136" ht="15.75" customHeight="1">
      <c r="B136" s="116">
        <v>0.6388888888888888</v>
      </c>
      <c r="C136" s="7" t="s">
        <v>652</v>
      </c>
      <c r="D136" s="13" t="s">
        <v>653</v>
      </c>
      <c r="E136" s="13" t="s">
        <v>654</v>
      </c>
      <c r="F136" s="7">
        <v>16.0</v>
      </c>
      <c r="G136" s="7">
        <v>16.0</v>
      </c>
      <c r="H136" s="7">
        <v>1.0</v>
      </c>
      <c r="I136" s="10" t="s">
        <v>578</v>
      </c>
      <c r="J136" s="52"/>
      <c r="K136" s="117" t="s">
        <v>655</v>
      </c>
      <c r="L136" s="7" t="s">
        <v>656</v>
      </c>
    </row>
    <row r="137" ht="15.75" customHeight="1">
      <c r="B137" s="116"/>
      <c r="C137" s="7"/>
      <c r="J137" s="52"/>
      <c r="K137" s="117"/>
      <c r="L137" s="7"/>
    </row>
    <row r="138" ht="15.75" customHeight="1">
      <c r="B138" s="116">
        <v>0.6618055555555555</v>
      </c>
      <c r="C138" s="7" t="s">
        <v>657</v>
      </c>
      <c r="D138" s="13" t="s">
        <v>658</v>
      </c>
      <c r="E138" s="13" t="s">
        <v>659</v>
      </c>
      <c r="F138" s="7">
        <v>17.0</v>
      </c>
      <c r="G138" s="7">
        <v>17.0</v>
      </c>
      <c r="H138" s="7">
        <v>1.0</v>
      </c>
      <c r="I138" s="10" t="s">
        <v>578</v>
      </c>
      <c r="J138" s="52"/>
      <c r="K138" s="117" t="s">
        <v>660</v>
      </c>
      <c r="L138" s="7" t="s">
        <v>661</v>
      </c>
    </row>
    <row r="139" ht="15.75" customHeight="1">
      <c r="C139" s="7" t="s">
        <v>662</v>
      </c>
      <c r="J139" s="52"/>
      <c r="K139" s="52"/>
    </row>
    <row r="140" ht="15.75" customHeight="1">
      <c r="J140" s="52"/>
      <c r="K140" s="52"/>
    </row>
    <row r="141" ht="15.75" customHeight="1">
      <c r="B141" s="116">
        <v>0.6715277777777777</v>
      </c>
      <c r="C141" s="7" t="s">
        <v>665</v>
      </c>
      <c r="D141" s="13" t="s">
        <v>666</v>
      </c>
      <c r="E141" s="7" t="s">
        <v>667</v>
      </c>
      <c r="F141" s="7">
        <v>18.0</v>
      </c>
      <c r="G141" s="7">
        <v>18.0</v>
      </c>
      <c r="H141" s="7">
        <v>0.508</v>
      </c>
      <c r="I141" s="10" t="s">
        <v>578</v>
      </c>
      <c r="J141" s="52"/>
      <c r="K141" s="117" t="s">
        <v>668</v>
      </c>
      <c r="L141" s="7" t="s">
        <v>669</v>
      </c>
    </row>
    <row r="142" ht="15.75" customHeight="1">
      <c r="B142" s="116">
        <v>0.68125</v>
      </c>
      <c r="C142" s="7" t="s">
        <v>670</v>
      </c>
      <c r="D142" s="13" t="s">
        <v>658</v>
      </c>
      <c r="E142" s="7" t="s">
        <v>671</v>
      </c>
      <c r="F142" s="7">
        <v>19.0</v>
      </c>
      <c r="G142" s="7">
        <v>19.0</v>
      </c>
      <c r="H142" s="7">
        <v>1.0</v>
      </c>
      <c r="I142" s="7" t="s">
        <v>578</v>
      </c>
      <c r="J142" s="52"/>
      <c r="K142" s="117" t="s">
        <v>672</v>
      </c>
      <c r="L142" s="7" t="s">
        <v>673</v>
      </c>
    </row>
    <row r="143" ht="15.75" customHeight="1">
      <c r="B143" s="116">
        <v>0.6944444444444444</v>
      </c>
      <c r="C143" s="7" t="s">
        <v>674</v>
      </c>
      <c r="D143" s="13" t="s">
        <v>675</v>
      </c>
      <c r="E143" s="7" t="s">
        <v>676</v>
      </c>
      <c r="F143" s="7">
        <v>20.0</v>
      </c>
      <c r="G143" s="7">
        <v>20.0</v>
      </c>
      <c r="H143" s="7">
        <v>1.0</v>
      </c>
      <c r="I143" s="7" t="s">
        <v>578</v>
      </c>
      <c r="J143" s="52"/>
      <c r="K143" s="117" t="s">
        <v>677</v>
      </c>
      <c r="L143" s="7" t="s">
        <v>678</v>
      </c>
    </row>
    <row r="144" ht="15.75" customHeight="1">
      <c r="J144" s="52"/>
      <c r="K144" s="52"/>
    </row>
    <row r="145" ht="15.75" customHeight="1">
      <c r="J145" s="52"/>
      <c r="K145" s="52"/>
    </row>
    <row r="146" ht="15.75" customHeight="1">
      <c r="J146" s="52"/>
      <c r="K146" s="52"/>
    </row>
    <row r="147" ht="15.75" customHeight="1">
      <c r="A147" s="223">
        <v>46238.0</v>
      </c>
      <c r="B147" s="7" t="s">
        <v>679</v>
      </c>
      <c r="J147" s="52"/>
      <c r="K147" s="52"/>
    </row>
    <row r="148" ht="15.75" customHeight="1">
      <c r="J148" s="52"/>
      <c r="K148" s="52"/>
    </row>
    <row r="149" ht="15.75" customHeight="1">
      <c r="J149" s="52"/>
      <c r="K149" s="52"/>
    </row>
    <row r="150" ht="15.75" customHeight="1">
      <c r="B150" s="116">
        <v>0.4895833333333333</v>
      </c>
      <c r="C150" s="7" t="s">
        <v>681</v>
      </c>
      <c r="D150" s="7" t="s">
        <v>682</v>
      </c>
      <c r="E150" s="7" t="s">
        <v>683</v>
      </c>
      <c r="F150" s="7">
        <v>1.0</v>
      </c>
      <c r="G150" s="7">
        <v>1.0</v>
      </c>
      <c r="H150" s="7">
        <v>0.88</v>
      </c>
      <c r="I150" s="7">
        <v>4.2</v>
      </c>
      <c r="J150" s="52"/>
      <c r="K150" s="7" t="s">
        <v>684</v>
      </c>
      <c r="L150" s="7" t="s">
        <v>685</v>
      </c>
    </row>
    <row r="151" ht="15.75" customHeight="1">
      <c r="A151" s="7" t="s">
        <v>616</v>
      </c>
      <c r="B151" s="116">
        <v>0.5555555555555556</v>
      </c>
      <c r="C151" s="7" t="s">
        <v>686</v>
      </c>
      <c r="D151" s="7" t="s">
        <v>197</v>
      </c>
      <c r="E151" s="7" t="s">
        <v>687</v>
      </c>
      <c r="K151" s="7" t="s">
        <v>689</v>
      </c>
    </row>
    <row r="152" ht="15.75" customHeight="1"/>
    <row r="153" ht="15.75" customHeight="1"/>
    <row r="154" ht="15.75" customHeight="1">
      <c r="B154" s="116">
        <v>0.5708333333333333</v>
      </c>
      <c r="C154" s="7" t="s">
        <v>690</v>
      </c>
      <c r="D154" s="7" t="s">
        <v>197</v>
      </c>
      <c r="E154" s="237" t="s">
        <v>691</v>
      </c>
      <c r="F154" s="7">
        <v>2.0</v>
      </c>
      <c r="G154" s="7">
        <v>2.0</v>
      </c>
      <c r="H154" s="7">
        <v>0.508</v>
      </c>
      <c r="I154" s="7">
        <v>2.91</v>
      </c>
      <c r="K154" s="7" t="s">
        <v>693</v>
      </c>
      <c r="L154" s="7" t="s">
        <v>694</v>
      </c>
    </row>
    <row r="155" ht="15.75" customHeight="1">
      <c r="B155" s="116">
        <v>0.5833333333333334</v>
      </c>
      <c r="C155" s="7" t="s">
        <v>695</v>
      </c>
      <c r="D155" s="7" t="s">
        <v>197</v>
      </c>
      <c r="E155" s="7" t="s">
        <v>696</v>
      </c>
      <c r="F155" s="7">
        <v>3.0</v>
      </c>
      <c r="G155" s="7">
        <v>3.0</v>
      </c>
      <c r="H155" s="243">
        <v>0.88</v>
      </c>
      <c r="I155" s="7">
        <v>4.2</v>
      </c>
      <c r="K155" s="7" t="s">
        <v>693</v>
      </c>
      <c r="L155" s="7" t="s">
        <v>698</v>
      </c>
    </row>
    <row r="156" ht="15.75" customHeight="1">
      <c r="B156" s="116">
        <v>0.5979166666666667</v>
      </c>
      <c r="C156" s="7" t="s">
        <v>699</v>
      </c>
      <c r="D156" s="7" t="s">
        <v>197</v>
      </c>
      <c r="E156" s="7" t="s">
        <v>700</v>
      </c>
      <c r="F156" s="7">
        <v>4.0</v>
      </c>
      <c r="G156" s="7">
        <v>4.0</v>
      </c>
      <c r="H156" s="7">
        <v>0.169</v>
      </c>
      <c r="I156" s="7">
        <v>2.066</v>
      </c>
      <c r="K156" s="7" t="s">
        <v>225</v>
      </c>
      <c r="L156" s="7" t="s">
        <v>702</v>
      </c>
    </row>
    <row r="157" ht="15.75" customHeight="1">
      <c r="B157" s="116">
        <v>0.6277777777777778</v>
      </c>
      <c r="C157" s="7" t="s">
        <v>703</v>
      </c>
      <c r="D157" s="7" t="s">
        <v>197</v>
      </c>
      <c r="E157" s="7" t="s">
        <v>704</v>
      </c>
      <c r="F157" s="7">
        <v>5.0</v>
      </c>
      <c r="G157" s="7">
        <v>5.0</v>
      </c>
      <c r="H157" s="7">
        <v>0.423</v>
      </c>
      <c r="I157" s="7">
        <v>2.066</v>
      </c>
      <c r="L157" s="7" t="s">
        <v>705</v>
      </c>
    </row>
    <row r="158" ht="15.75" customHeight="1">
      <c r="B158" s="116">
        <v>0.6423611111111112</v>
      </c>
      <c r="C158" s="212" t="s">
        <v>706</v>
      </c>
      <c r="D158" s="212" t="s">
        <v>197</v>
      </c>
      <c r="E158" s="212" t="s">
        <v>708</v>
      </c>
      <c r="F158" s="212">
        <v>6.0</v>
      </c>
      <c r="G158" s="212">
        <v>6.0</v>
      </c>
      <c r="H158" s="212">
        <v>1.0</v>
      </c>
      <c r="I158" s="212">
        <v>5.0</v>
      </c>
      <c r="J158" s="244"/>
      <c r="K158" s="7" t="s">
        <v>710</v>
      </c>
      <c r="L158" s="7" t="s">
        <v>712</v>
      </c>
    </row>
    <row r="159" ht="15.75" customHeight="1">
      <c r="B159" s="116">
        <v>0.6631944444444444</v>
      </c>
      <c r="C159" s="7" t="s">
        <v>713</v>
      </c>
      <c r="D159" s="7" t="s">
        <v>197</v>
      </c>
      <c r="E159" s="7" t="s">
        <v>714</v>
      </c>
      <c r="F159" s="7">
        <v>7.0</v>
      </c>
      <c r="G159" s="7">
        <v>7.0</v>
      </c>
      <c r="H159" s="243">
        <v>0.88</v>
      </c>
      <c r="I159" s="7">
        <v>4.2</v>
      </c>
      <c r="J159" s="52"/>
      <c r="K159" s="117" t="s">
        <v>715</v>
      </c>
      <c r="L159" s="7" t="s">
        <v>716</v>
      </c>
    </row>
    <row r="160" ht="15.75" customHeight="1">
      <c r="B160" s="116">
        <v>0.6708333333333333</v>
      </c>
      <c r="C160" s="7" t="s">
        <v>717</v>
      </c>
      <c r="D160" s="7" t="s">
        <v>718</v>
      </c>
      <c r="E160" s="7" t="s">
        <v>718</v>
      </c>
      <c r="F160" s="7">
        <v>8.0</v>
      </c>
      <c r="G160" s="7">
        <v>8.0</v>
      </c>
      <c r="H160" s="243">
        <v>0.88</v>
      </c>
      <c r="I160" s="7">
        <v>4.2</v>
      </c>
      <c r="J160" s="52"/>
      <c r="K160" s="117" t="s">
        <v>720</v>
      </c>
      <c r="L160" s="7" t="s">
        <v>721</v>
      </c>
    </row>
    <row r="161" ht="15.75" customHeight="1">
      <c r="B161" s="116">
        <v>0.6805555555555556</v>
      </c>
      <c r="C161" s="7" t="s">
        <v>722</v>
      </c>
      <c r="D161" s="7" t="s">
        <v>723</v>
      </c>
      <c r="E161" s="7" t="s">
        <v>723</v>
      </c>
      <c r="F161" s="7">
        <v>9.0</v>
      </c>
      <c r="G161" s="7">
        <v>9.0</v>
      </c>
      <c r="H161" s="243">
        <v>0.88</v>
      </c>
      <c r="I161" s="7">
        <v>4.2</v>
      </c>
      <c r="J161" s="52"/>
      <c r="K161" s="7" t="s">
        <v>724</v>
      </c>
      <c r="L161" s="7" t="s">
        <v>725</v>
      </c>
    </row>
    <row r="162" ht="15.75" customHeight="1">
      <c r="B162" s="116">
        <v>0.6986111111111111</v>
      </c>
      <c r="C162" s="7" t="s">
        <v>726</v>
      </c>
      <c r="D162" s="7" t="s">
        <v>727</v>
      </c>
      <c r="E162" s="7" t="s">
        <v>727</v>
      </c>
      <c r="F162" s="7">
        <v>10.0</v>
      </c>
      <c r="G162" s="7">
        <v>10.0</v>
      </c>
      <c r="H162" s="7">
        <v>0.508</v>
      </c>
      <c r="I162" s="7">
        <v>2.91</v>
      </c>
      <c r="J162" s="52"/>
      <c r="K162" s="117" t="s">
        <v>730</v>
      </c>
      <c r="L162" s="7" t="s">
        <v>732</v>
      </c>
    </row>
    <row r="163" ht="15.75" customHeight="1">
      <c r="J163" s="52"/>
      <c r="K163" s="52"/>
    </row>
    <row r="164" ht="15.75" customHeight="1">
      <c r="J164" s="52"/>
      <c r="K164" s="52"/>
    </row>
    <row r="165" ht="15.75" customHeight="1">
      <c r="A165" s="7">
        <v>8062025.0</v>
      </c>
      <c r="J165" s="52"/>
      <c r="K165" s="52"/>
    </row>
    <row r="166" ht="15.75" customHeight="1">
      <c r="B166" s="116">
        <v>0.7736111111111111</v>
      </c>
      <c r="D166" s="7" t="s">
        <v>739</v>
      </c>
      <c r="E166" s="7" t="s">
        <v>740</v>
      </c>
      <c r="J166" s="52"/>
      <c r="K166" s="117" t="s">
        <v>742</v>
      </c>
    </row>
    <row r="167" ht="15.75" customHeight="1">
      <c r="B167" s="121">
        <v>0.28194444444444444</v>
      </c>
      <c r="D167" s="7" t="s">
        <v>743</v>
      </c>
      <c r="E167" s="7" t="s">
        <v>743</v>
      </c>
      <c r="J167" s="52"/>
      <c r="K167" s="52"/>
    </row>
    <row r="168" ht="15.75" customHeight="1">
      <c r="E168" s="7" t="s">
        <v>745</v>
      </c>
      <c r="J168" s="52"/>
      <c r="K168" s="52"/>
    </row>
    <row r="169" ht="15.75" customHeight="1">
      <c r="E169" s="7" t="s">
        <v>746</v>
      </c>
      <c r="J169" s="52"/>
      <c r="K169" s="52"/>
    </row>
    <row r="170" ht="15.75" customHeight="1">
      <c r="D170" s="7" t="s">
        <v>748</v>
      </c>
      <c r="E170" s="7" t="s">
        <v>748</v>
      </c>
      <c r="J170" s="52"/>
      <c r="K170" s="117" t="s">
        <v>749</v>
      </c>
    </row>
    <row r="171" ht="15.75" customHeight="1">
      <c r="D171" s="7" t="s">
        <v>751</v>
      </c>
      <c r="E171" s="7" t="s">
        <v>751</v>
      </c>
      <c r="J171" s="52"/>
      <c r="K171" s="117" t="s">
        <v>752</v>
      </c>
    </row>
    <row r="172" ht="15.75" customHeight="1">
      <c r="B172" s="116">
        <v>0.8125</v>
      </c>
      <c r="D172" s="7" t="s">
        <v>754</v>
      </c>
      <c r="E172" s="7" t="s">
        <v>754</v>
      </c>
      <c r="J172" s="52"/>
      <c r="K172" s="117" t="s">
        <v>755</v>
      </c>
    </row>
    <row r="173" ht="15.75" customHeight="1">
      <c r="J173" s="52"/>
      <c r="K173" s="52"/>
    </row>
    <row r="174" ht="15.75" customHeight="1">
      <c r="J174" s="52"/>
      <c r="K174" s="52"/>
    </row>
    <row r="175" ht="15.75" customHeight="1">
      <c r="A175" s="202">
        <v>46241.0</v>
      </c>
      <c r="E175" s="7" t="s">
        <v>756</v>
      </c>
      <c r="J175" s="52"/>
    </row>
    <row r="176" ht="15.75" customHeight="1">
      <c r="B176" s="116">
        <v>0.3888888888888889</v>
      </c>
      <c r="C176" s="7" t="s">
        <v>757</v>
      </c>
      <c r="E176" s="7" t="s">
        <v>758</v>
      </c>
      <c r="F176" s="7">
        <v>1.0</v>
      </c>
      <c r="G176" s="7">
        <v>1.0</v>
      </c>
      <c r="H176" s="7">
        <v>0.1</v>
      </c>
      <c r="I176" s="7">
        <v>6.0</v>
      </c>
      <c r="J176" s="52"/>
      <c r="K176" s="7" t="s">
        <v>759</v>
      </c>
      <c r="L176" s="7" t="s">
        <v>760</v>
      </c>
    </row>
    <row r="177" ht="15.75" customHeight="1">
      <c r="B177" s="116">
        <v>0.40069444444444446</v>
      </c>
      <c r="C177" s="7" t="s">
        <v>761</v>
      </c>
      <c r="D177" s="7" t="s">
        <v>762</v>
      </c>
      <c r="E177" s="7" t="s">
        <v>763</v>
      </c>
      <c r="F177" s="7">
        <v>2.0</v>
      </c>
      <c r="G177" s="7">
        <v>2.0</v>
      </c>
      <c r="H177" s="7">
        <v>0.1</v>
      </c>
      <c r="I177" s="7">
        <v>6.0</v>
      </c>
      <c r="J177" s="52"/>
      <c r="K177" s="117" t="s">
        <v>764</v>
      </c>
    </row>
    <row r="178" ht="15.75" customHeight="1">
      <c r="B178" s="116">
        <v>0.4201388888888889</v>
      </c>
      <c r="C178" s="7" t="s">
        <v>765</v>
      </c>
      <c r="D178" s="7" t="s">
        <v>766</v>
      </c>
      <c r="E178" s="7" t="s">
        <v>767</v>
      </c>
      <c r="F178" s="7">
        <v>3.0</v>
      </c>
      <c r="G178" s="7">
        <v>3.0</v>
      </c>
      <c r="H178" s="7">
        <v>0.1</v>
      </c>
      <c r="I178" s="7">
        <v>6.0</v>
      </c>
      <c r="J178" s="52"/>
      <c r="K178" s="117" t="s">
        <v>768</v>
      </c>
    </row>
    <row r="179" ht="15.75" customHeight="1">
      <c r="B179" s="116">
        <v>0.4395833333333333</v>
      </c>
      <c r="C179" s="7" t="s">
        <v>769</v>
      </c>
      <c r="E179" s="7" t="s">
        <v>770</v>
      </c>
      <c r="F179" s="7">
        <v>4.0</v>
      </c>
      <c r="G179" s="7">
        <v>4.0</v>
      </c>
      <c r="H179" s="7">
        <v>0.1</v>
      </c>
      <c r="I179" s="7">
        <v>6.0</v>
      </c>
      <c r="J179" s="52"/>
      <c r="K179" s="117" t="s">
        <v>772</v>
      </c>
    </row>
    <row r="180" ht="15.75" customHeight="1">
      <c r="B180" s="116">
        <v>0.4513888888888889</v>
      </c>
      <c r="C180" s="7" t="s">
        <v>773</v>
      </c>
      <c r="D180" s="7" t="s">
        <v>774</v>
      </c>
      <c r="E180" s="7" t="s">
        <v>774</v>
      </c>
      <c r="F180" s="7">
        <v>5.0</v>
      </c>
      <c r="G180" s="7">
        <v>5.0</v>
      </c>
      <c r="H180" s="7">
        <v>0.1</v>
      </c>
      <c r="I180" s="7">
        <v>6.0</v>
      </c>
      <c r="J180" s="52"/>
      <c r="K180" s="117" t="s">
        <v>776</v>
      </c>
    </row>
    <row r="181" ht="15.75" customHeight="1">
      <c r="B181" s="116">
        <v>0.4652777777777778</v>
      </c>
      <c r="C181" s="7" t="s">
        <v>777</v>
      </c>
      <c r="D181" s="7" t="s">
        <v>778</v>
      </c>
      <c r="E181" s="7" t="s">
        <v>778</v>
      </c>
      <c r="F181" s="7">
        <v>6.0</v>
      </c>
      <c r="G181" s="7">
        <v>6.0</v>
      </c>
      <c r="H181" s="7">
        <v>0.423</v>
      </c>
      <c r="I181" s="7">
        <v>2.066</v>
      </c>
      <c r="J181" s="52"/>
      <c r="K181" s="117" t="s">
        <v>779</v>
      </c>
    </row>
    <row r="182" ht="15.75" customHeight="1">
      <c r="B182" s="116">
        <v>0.4798611111111111</v>
      </c>
      <c r="C182" s="7" t="s">
        <v>780</v>
      </c>
      <c r="D182" s="7" t="s">
        <v>781</v>
      </c>
      <c r="E182" s="7" t="s">
        <v>781</v>
      </c>
      <c r="F182" s="7">
        <v>7.0</v>
      </c>
      <c r="G182" s="7">
        <v>7.0</v>
      </c>
      <c r="H182" s="7">
        <v>0.508</v>
      </c>
      <c r="I182" s="7">
        <v>2.91</v>
      </c>
      <c r="J182" s="52"/>
      <c r="K182" s="117" t="s">
        <v>782</v>
      </c>
    </row>
    <row r="183" ht="15.75" customHeight="1">
      <c r="B183" s="116">
        <v>0.4895833333333333</v>
      </c>
      <c r="C183" s="7" t="s">
        <v>783</v>
      </c>
      <c r="D183" s="7" t="s">
        <v>784</v>
      </c>
      <c r="E183" s="7" t="s">
        <v>784</v>
      </c>
      <c r="F183" s="7">
        <v>8.0</v>
      </c>
      <c r="G183" s="7">
        <v>8.0</v>
      </c>
      <c r="H183" s="7">
        <v>0.88</v>
      </c>
      <c r="I183" s="7">
        <v>4.2</v>
      </c>
      <c r="J183" s="52"/>
      <c r="K183" s="117" t="s">
        <v>785</v>
      </c>
    </row>
    <row r="184" ht="15.75" customHeight="1">
      <c r="B184" s="116">
        <v>0.5104166666666666</v>
      </c>
      <c r="C184" s="7" t="s">
        <v>787</v>
      </c>
      <c r="D184" s="7" t="s">
        <v>788</v>
      </c>
      <c r="E184" s="7" t="s">
        <v>788</v>
      </c>
      <c r="F184" s="7">
        <v>9.0</v>
      </c>
      <c r="G184" s="7">
        <v>9.0</v>
      </c>
      <c r="H184" s="7">
        <v>0.508</v>
      </c>
      <c r="I184" s="7">
        <v>2.91</v>
      </c>
      <c r="J184" s="52"/>
      <c r="K184" s="117" t="s">
        <v>789</v>
      </c>
    </row>
    <row r="185" ht="15.75" customHeight="1"/>
    <row r="186" ht="15.75" customHeight="1"/>
    <row r="187" ht="15.75" customHeight="1">
      <c r="A187" s="7" t="s">
        <v>616</v>
      </c>
      <c r="B187" s="116">
        <v>0.55</v>
      </c>
      <c r="C187" s="7" t="s">
        <v>790</v>
      </c>
      <c r="D187" s="7" t="s">
        <v>791</v>
      </c>
      <c r="E187" s="7" t="s">
        <v>791</v>
      </c>
      <c r="F187" s="7">
        <v>10.0</v>
      </c>
      <c r="G187" s="7">
        <v>10.0</v>
      </c>
      <c r="H187" s="7">
        <v>0.508</v>
      </c>
      <c r="I187" s="7">
        <v>2.91</v>
      </c>
      <c r="J187" s="52"/>
      <c r="K187" s="117" t="s">
        <v>792</v>
      </c>
    </row>
    <row r="188" ht="15.75" customHeight="1">
      <c r="B188" s="116">
        <v>0.5659722222222222</v>
      </c>
      <c r="C188" s="7" t="s">
        <v>793</v>
      </c>
      <c r="E188" s="7" t="s">
        <v>794</v>
      </c>
      <c r="F188" s="7">
        <v>11.0</v>
      </c>
      <c r="G188" s="7">
        <v>11.0</v>
      </c>
      <c r="H188" s="7">
        <v>0.508</v>
      </c>
      <c r="I188" s="7">
        <v>2.91</v>
      </c>
      <c r="J188" s="52"/>
      <c r="K188" s="117" t="s">
        <v>795</v>
      </c>
    </row>
    <row r="189" ht="15.75" customHeight="1">
      <c r="B189" s="116">
        <v>0.5805555555555556</v>
      </c>
      <c r="C189" s="7" t="s">
        <v>796</v>
      </c>
      <c r="E189" s="7" t="s">
        <v>797</v>
      </c>
      <c r="F189" s="7">
        <v>12.0</v>
      </c>
      <c r="G189" s="7">
        <v>12.0</v>
      </c>
      <c r="H189" s="7">
        <v>0.508</v>
      </c>
      <c r="I189" s="7">
        <v>2.91</v>
      </c>
      <c r="K189" s="7" t="s">
        <v>798</v>
      </c>
    </row>
    <row r="190" ht="15.75" customHeight="1">
      <c r="B190" s="116">
        <v>0.5979166666666667</v>
      </c>
      <c r="C190" s="7" t="s">
        <v>799</v>
      </c>
      <c r="E190" s="7" t="s">
        <v>800</v>
      </c>
      <c r="F190" s="7">
        <v>13.0</v>
      </c>
      <c r="G190" s="7">
        <v>13.0</v>
      </c>
      <c r="H190" s="7">
        <v>0.508</v>
      </c>
      <c r="I190" s="7">
        <v>2.91</v>
      </c>
      <c r="J190" s="52"/>
      <c r="K190" s="7" t="s">
        <v>801</v>
      </c>
    </row>
    <row r="191" ht="15.75" customHeight="1">
      <c r="B191" s="116">
        <v>0.6118055555555556</v>
      </c>
      <c r="C191" s="7" t="s">
        <v>803</v>
      </c>
      <c r="E191" s="7" t="s">
        <v>804</v>
      </c>
      <c r="F191" s="7">
        <v>14.0</v>
      </c>
      <c r="G191" s="7">
        <v>14.0</v>
      </c>
      <c r="H191" s="7">
        <v>0.508</v>
      </c>
      <c r="I191" s="7">
        <v>2.91</v>
      </c>
      <c r="J191" s="52"/>
      <c r="K191" s="7" t="s">
        <v>805</v>
      </c>
    </row>
    <row r="192" ht="15.75" customHeight="1">
      <c r="B192" s="116">
        <v>0.6229166666666667</v>
      </c>
      <c r="C192" s="7" t="s">
        <v>806</v>
      </c>
      <c r="E192" s="7" t="s">
        <v>807</v>
      </c>
      <c r="F192" s="7">
        <v>15.0</v>
      </c>
      <c r="G192" s="7">
        <v>15.0</v>
      </c>
      <c r="H192" s="7">
        <v>0.508</v>
      </c>
      <c r="I192" s="7">
        <v>2.91</v>
      </c>
      <c r="J192" s="52"/>
      <c r="K192" s="7" t="s">
        <v>808</v>
      </c>
    </row>
    <row r="193" ht="15.75" customHeight="1">
      <c r="B193" s="116">
        <v>0.6388888888888888</v>
      </c>
      <c r="C193" s="7" t="s">
        <v>809</v>
      </c>
      <c r="E193" s="7" t="s">
        <v>810</v>
      </c>
      <c r="F193" s="7">
        <v>16.0</v>
      </c>
      <c r="G193" s="7">
        <v>16.0</v>
      </c>
      <c r="H193" s="7">
        <v>0.508</v>
      </c>
      <c r="I193" s="7">
        <v>2.91</v>
      </c>
      <c r="J193" s="52"/>
      <c r="K193" s="7" t="s">
        <v>811</v>
      </c>
    </row>
    <row r="194" ht="15.75" customHeight="1">
      <c r="B194" s="121">
        <v>0.1527777777777778</v>
      </c>
      <c r="C194" s="7" t="s">
        <v>812</v>
      </c>
      <c r="E194" s="7" t="s">
        <v>813</v>
      </c>
      <c r="F194" s="7">
        <v>17.0</v>
      </c>
      <c r="G194" s="7">
        <v>17.0</v>
      </c>
      <c r="H194" s="7">
        <v>0.508</v>
      </c>
      <c r="I194" s="7">
        <v>2.91</v>
      </c>
      <c r="J194" s="52"/>
      <c r="K194" s="7" t="s">
        <v>814</v>
      </c>
    </row>
    <row r="195" ht="15.75" customHeight="1">
      <c r="B195" s="116">
        <v>0.6597222222222222</v>
      </c>
      <c r="C195" s="7" t="s">
        <v>816</v>
      </c>
      <c r="E195" s="7" t="s">
        <v>817</v>
      </c>
      <c r="F195" s="7">
        <v>18.0</v>
      </c>
      <c r="G195" s="7">
        <v>18.0</v>
      </c>
      <c r="H195" s="7">
        <v>0.508</v>
      </c>
      <c r="I195" s="7">
        <v>2.91</v>
      </c>
      <c r="K195" s="7" t="s">
        <v>818</v>
      </c>
    </row>
    <row r="196" ht="15.75" customHeight="1">
      <c r="B196" s="116">
        <v>0.6618055555555555</v>
      </c>
      <c r="C196" s="7" t="s">
        <v>819</v>
      </c>
      <c r="E196" s="7" t="s">
        <v>820</v>
      </c>
      <c r="F196" s="7">
        <v>19.0</v>
      </c>
      <c r="G196" s="7">
        <v>19.0</v>
      </c>
      <c r="H196" s="7">
        <v>0.508</v>
      </c>
      <c r="I196" s="7">
        <v>2.91</v>
      </c>
      <c r="K196" s="7" t="s">
        <v>821</v>
      </c>
    </row>
    <row r="197" ht="15.75" customHeight="1">
      <c r="B197" s="116">
        <v>0.6819444444444445</v>
      </c>
      <c r="C197" s="7" t="s">
        <v>824</v>
      </c>
      <c r="E197" s="7" t="s">
        <v>825</v>
      </c>
      <c r="F197" s="7">
        <v>20.0</v>
      </c>
      <c r="G197" s="7">
        <v>20.0</v>
      </c>
      <c r="H197" s="7">
        <v>0.508</v>
      </c>
      <c r="I197" s="7">
        <v>2.91</v>
      </c>
      <c r="K197" s="7" t="s">
        <v>827</v>
      </c>
    </row>
    <row r="198" ht="15.75" customHeight="1">
      <c r="B198" s="116">
        <v>0.6986111111111111</v>
      </c>
      <c r="C198" s="7" t="s">
        <v>828</v>
      </c>
      <c r="E198" s="7" t="s">
        <v>829</v>
      </c>
      <c r="F198" s="7">
        <v>21.0</v>
      </c>
      <c r="G198" s="7">
        <v>21.0</v>
      </c>
      <c r="H198" s="7">
        <v>0.508</v>
      </c>
      <c r="I198" s="7">
        <v>2.91</v>
      </c>
      <c r="K198" s="7" t="s">
        <v>832</v>
      </c>
    </row>
    <row r="199" ht="15.75" customHeight="1">
      <c r="B199" s="116">
        <v>0.7083333333333334</v>
      </c>
      <c r="C199" s="7" t="s">
        <v>834</v>
      </c>
      <c r="E199" s="7" t="s">
        <v>835</v>
      </c>
      <c r="F199" s="7">
        <v>22.0</v>
      </c>
      <c r="G199" s="7">
        <v>22.0</v>
      </c>
      <c r="H199" s="7">
        <v>1.35</v>
      </c>
      <c r="I199" s="7">
        <v>3.172</v>
      </c>
      <c r="K199" s="7" t="s">
        <v>837</v>
      </c>
    </row>
    <row r="200" ht="15.75" customHeight="1"/>
    <row r="201" ht="15.75" customHeight="1">
      <c r="A201" s="202">
        <v>46243.0</v>
      </c>
    </row>
    <row r="202" ht="15.75" customHeight="1">
      <c r="C202" s="7" t="s">
        <v>841</v>
      </c>
      <c r="K202" s="7" t="s">
        <v>842</v>
      </c>
    </row>
    <row r="203" ht="15.75" customHeight="1">
      <c r="C203" s="7" t="s">
        <v>844</v>
      </c>
      <c r="K203" s="7" t="s">
        <v>846</v>
      </c>
    </row>
    <row r="204" ht="15.75" customHeight="1">
      <c r="J204" s="52"/>
      <c r="K204" s="7" t="s">
        <v>848</v>
      </c>
    </row>
    <row r="205" ht="15.75" customHeight="1">
      <c r="C205" s="7" t="s">
        <v>850</v>
      </c>
      <c r="K205" s="7" t="s">
        <v>851</v>
      </c>
    </row>
    <row r="206" ht="15.75" customHeight="1">
      <c r="C206" s="7" t="s">
        <v>852</v>
      </c>
    </row>
    <row r="207" ht="15.75" customHeight="1">
      <c r="A207" s="121">
        <v>0.09513888888888888</v>
      </c>
      <c r="C207" s="7" t="s">
        <v>854</v>
      </c>
      <c r="J207" s="52"/>
      <c r="K207" s="7" t="s">
        <v>856</v>
      </c>
    </row>
    <row r="208" ht="15.75" customHeight="1">
      <c r="E208" s="7" t="s">
        <v>857</v>
      </c>
      <c r="J208" s="52"/>
    </row>
    <row r="209" ht="15.75" customHeight="1">
      <c r="C209" s="7" t="s">
        <v>860</v>
      </c>
      <c r="E209" s="7" t="s">
        <v>861</v>
      </c>
      <c r="J209" s="52"/>
      <c r="K209" s="7" t="s">
        <v>862</v>
      </c>
    </row>
    <row r="210" ht="15.75" customHeight="1"/>
    <row r="211" ht="15.75" customHeight="1">
      <c r="C211" s="7" t="s">
        <v>864</v>
      </c>
      <c r="E211" s="7" t="s">
        <v>865</v>
      </c>
      <c r="J211" s="52"/>
      <c r="K211" s="7" t="s">
        <v>866</v>
      </c>
    </row>
    <row r="212" ht="15.75" customHeight="1">
      <c r="E212" s="7" t="s">
        <v>867</v>
      </c>
      <c r="J212" s="52"/>
      <c r="K212" s="7" t="s">
        <v>868</v>
      </c>
    </row>
    <row r="213" ht="15.75" customHeight="1">
      <c r="C213" s="7" t="s">
        <v>870</v>
      </c>
      <c r="E213" s="7" t="s">
        <v>871</v>
      </c>
      <c r="J213" s="52"/>
      <c r="K213" s="7" t="s">
        <v>872</v>
      </c>
    </row>
    <row r="214" ht="15.75" customHeight="1">
      <c r="C214" s="7" t="s">
        <v>873</v>
      </c>
      <c r="J214" s="52"/>
      <c r="K214" s="7" t="s">
        <v>874</v>
      </c>
    </row>
    <row r="215" ht="15.75" customHeight="1">
      <c r="J215" s="52"/>
      <c r="K215" s="52"/>
    </row>
    <row r="216" ht="15.75" customHeight="1">
      <c r="J216" s="52"/>
    </row>
    <row r="217" ht="15.75" customHeight="1"/>
    <row r="218" ht="15.75" customHeight="1">
      <c r="A218" s="202">
        <v>46244.0</v>
      </c>
      <c r="B218" s="257">
        <v>0.3638888888888889</v>
      </c>
      <c r="C218" s="157" t="s">
        <v>875</v>
      </c>
      <c r="D218" s="269"/>
      <c r="E218" s="157" t="s">
        <v>879</v>
      </c>
      <c r="F218" s="157">
        <v>0.0</v>
      </c>
      <c r="G218" s="157">
        <v>0.0</v>
      </c>
      <c r="H218" s="157" t="s">
        <v>197</v>
      </c>
      <c r="I218" s="157" t="s">
        <v>197</v>
      </c>
      <c r="J218" s="271"/>
      <c r="K218" s="157" t="s">
        <v>881</v>
      </c>
    </row>
    <row r="219" ht="15.75" customHeight="1">
      <c r="B219" s="116">
        <v>0.375</v>
      </c>
      <c r="C219" s="7" t="s">
        <v>875</v>
      </c>
      <c r="E219" s="7" t="s">
        <v>882</v>
      </c>
      <c r="F219" s="7">
        <v>1.0</v>
      </c>
      <c r="G219" s="7">
        <v>1.0</v>
      </c>
      <c r="H219" s="7">
        <v>0.508</v>
      </c>
      <c r="I219" s="7">
        <v>2.91</v>
      </c>
      <c r="J219" s="117" t="s">
        <v>883</v>
      </c>
      <c r="K219" s="7" t="s">
        <v>884</v>
      </c>
    </row>
    <row r="220" ht="15.75" customHeight="1">
      <c r="B220" s="116">
        <v>0.40555555555555556</v>
      </c>
      <c r="C220" s="7" t="s">
        <v>885</v>
      </c>
      <c r="E220" s="7" t="s">
        <v>886</v>
      </c>
      <c r="F220" s="7">
        <v>2.0</v>
      </c>
      <c r="G220" s="7">
        <v>2.0</v>
      </c>
      <c r="H220" s="7">
        <v>0.508</v>
      </c>
      <c r="I220" s="7">
        <v>2.91</v>
      </c>
      <c r="J220" s="117" t="s">
        <v>887</v>
      </c>
      <c r="K220" s="7" t="s">
        <v>888</v>
      </c>
    </row>
    <row r="221" ht="15.75" customHeight="1">
      <c r="C221" s="7" t="s">
        <v>889</v>
      </c>
      <c r="E221" s="7" t="s">
        <v>890</v>
      </c>
      <c r="F221" s="7" t="s">
        <v>891</v>
      </c>
      <c r="J221" s="117" t="s">
        <v>887</v>
      </c>
      <c r="K221" s="7" t="s">
        <v>892</v>
      </c>
    </row>
    <row r="222" ht="15.75" customHeight="1">
      <c r="C222" s="7" t="s">
        <v>893</v>
      </c>
      <c r="E222" s="7" t="s">
        <v>894</v>
      </c>
      <c r="F222" s="7">
        <v>3.0</v>
      </c>
      <c r="J222" s="117" t="s">
        <v>895</v>
      </c>
      <c r="K222" s="7" t="s">
        <v>896</v>
      </c>
    </row>
    <row r="223" ht="15.75" customHeight="1">
      <c r="C223" s="7" t="s">
        <v>897</v>
      </c>
      <c r="E223" s="7" t="s">
        <v>898</v>
      </c>
      <c r="F223" s="7">
        <v>4.0</v>
      </c>
      <c r="J223" s="117" t="s">
        <v>899</v>
      </c>
      <c r="K223" s="7" t="s">
        <v>900</v>
      </c>
    </row>
    <row r="224" ht="15.75" customHeight="1">
      <c r="C224" s="7" t="s">
        <v>901</v>
      </c>
      <c r="E224" s="7" t="s">
        <v>902</v>
      </c>
      <c r="F224" s="7">
        <v>5.0</v>
      </c>
      <c r="J224" s="117" t="s">
        <v>903</v>
      </c>
      <c r="K224" s="7" t="s">
        <v>904</v>
      </c>
    </row>
    <row r="225" ht="15.75" customHeight="1">
      <c r="C225" s="7" t="s">
        <v>905</v>
      </c>
      <c r="E225" s="7" t="s">
        <v>906</v>
      </c>
      <c r="F225" s="7">
        <v>6.0</v>
      </c>
      <c r="J225" s="117" t="s">
        <v>907</v>
      </c>
      <c r="K225" s="7" t="s">
        <v>908</v>
      </c>
    </row>
    <row r="226" ht="15.75" customHeight="1">
      <c r="C226" s="7" t="s">
        <v>909</v>
      </c>
      <c r="E226" s="7" t="s">
        <v>910</v>
      </c>
      <c r="F226" s="7">
        <v>7.0</v>
      </c>
      <c r="J226" s="117" t="s">
        <v>911</v>
      </c>
      <c r="K226" s="7" t="s">
        <v>912</v>
      </c>
    </row>
    <row r="227" ht="15.75" customHeight="1">
      <c r="C227" s="7" t="s">
        <v>913</v>
      </c>
      <c r="E227" s="7" t="s">
        <v>914</v>
      </c>
      <c r="F227" s="7">
        <v>8.0</v>
      </c>
      <c r="G227" s="7">
        <v>3.0</v>
      </c>
      <c r="H227" s="7">
        <v>0.508</v>
      </c>
      <c r="I227" s="7">
        <v>2.91</v>
      </c>
      <c r="J227" s="117" t="s">
        <v>911</v>
      </c>
      <c r="K227" s="7" t="s">
        <v>915</v>
      </c>
    </row>
    <row r="228" ht="15.75" customHeight="1">
      <c r="C228" s="7" t="s">
        <v>916</v>
      </c>
      <c r="E228" s="7" t="s">
        <v>917</v>
      </c>
      <c r="F228" s="7">
        <v>9.0</v>
      </c>
      <c r="J228" s="117" t="s">
        <v>911</v>
      </c>
      <c r="K228" s="7" t="s">
        <v>918</v>
      </c>
    </row>
    <row r="229" ht="15.75" customHeight="1">
      <c r="B229" s="116">
        <v>0.9305555555555556</v>
      </c>
      <c r="C229" s="7" t="s">
        <v>919</v>
      </c>
      <c r="E229" s="7" t="s">
        <v>920</v>
      </c>
      <c r="F229" s="7">
        <v>10.0</v>
      </c>
      <c r="G229" s="7">
        <v>4.0</v>
      </c>
      <c r="H229" s="7">
        <v>1.35</v>
      </c>
      <c r="I229" s="7">
        <v>3.172</v>
      </c>
      <c r="J229" s="7" t="s">
        <v>225</v>
      </c>
      <c r="K229" s="7" t="s">
        <v>921</v>
      </c>
    </row>
    <row r="230" ht="15.75" customHeight="1">
      <c r="B230" s="121">
        <v>0.44722222222222224</v>
      </c>
      <c r="C230" s="7" t="s">
        <v>922</v>
      </c>
      <c r="E230" s="7" t="s">
        <v>923</v>
      </c>
      <c r="F230" s="7">
        <v>11.0</v>
      </c>
      <c r="G230" s="7">
        <v>5.0</v>
      </c>
      <c r="H230" s="7">
        <v>1.35</v>
      </c>
      <c r="I230" s="7">
        <v>3.172</v>
      </c>
      <c r="K230" s="7" t="s">
        <v>924</v>
      </c>
    </row>
    <row r="231" ht="15.75" customHeight="1">
      <c r="B231" s="116">
        <v>0.4652777777777778</v>
      </c>
      <c r="C231" s="7" t="s">
        <v>925</v>
      </c>
      <c r="E231" s="7" t="s">
        <v>926</v>
      </c>
      <c r="F231" s="7">
        <v>12.0</v>
      </c>
      <c r="G231" s="7">
        <v>6.0</v>
      </c>
      <c r="H231" s="7">
        <v>1.35</v>
      </c>
      <c r="I231" s="7">
        <v>3.172</v>
      </c>
      <c r="K231" s="7" t="s">
        <v>927</v>
      </c>
    </row>
    <row r="232" ht="15.75" customHeight="1">
      <c r="B232" s="116">
        <v>0.4791666666666667</v>
      </c>
      <c r="C232" s="7" t="s">
        <v>928</v>
      </c>
      <c r="E232" s="7" t="s">
        <v>929</v>
      </c>
      <c r="F232" s="7">
        <v>13.0</v>
      </c>
      <c r="G232" s="7">
        <v>7.0</v>
      </c>
      <c r="H232" s="7">
        <v>1.35</v>
      </c>
      <c r="I232" s="7">
        <v>3.172</v>
      </c>
      <c r="J232" s="52"/>
      <c r="K232" s="7" t="s">
        <v>930</v>
      </c>
    </row>
    <row r="233" ht="15.75" customHeight="1">
      <c r="B233" s="116">
        <v>0.4826388888888889</v>
      </c>
      <c r="C233" s="7" t="s">
        <v>931</v>
      </c>
      <c r="E233" s="7" t="s">
        <v>932</v>
      </c>
      <c r="F233" s="7">
        <v>14.0</v>
      </c>
      <c r="K233" s="7" t="s">
        <v>933</v>
      </c>
    </row>
    <row r="234" ht="15.75" customHeight="1">
      <c r="B234" s="116">
        <v>0.4847222222222222</v>
      </c>
      <c r="C234" s="7" t="s">
        <v>934</v>
      </c>
      <c r="E234" s="7" t="s">
        <v>935</v>
      </c>
      <c r="F234" s="7">
        <v>15.0</v>
      </c>
      <c r="G234" s="7">
        <v>8.0</v>
      </c>
      <c r="H234" s="7">
        <v>1.35</v>
      </c>
      <c r="I234" s="7">
        <v>3.172</v>
      </c>
      <c r="J234" s="52"/>
      <c r="K234" s="7" t="s">
        <v>936</v>
      </c>
    </row>
    <row r="235" ht="15.75" customHeight="1"/>
    <row r="236" ht="15.75" customHeight="1"/>
    <row r="237" ht="15.75" customHeight="1">
      <c r="J237" s="52"/>
    </row>
    <row r="238" ht="15.75" customHeight="1"/>
    <row r="239" ht="15.75" customHeight="1">
      <c r="J239" s="52"/>
    </row>
    <row r="240" ht="15.75" customHeight="1">
      <c r="B240" s="116">
        <v>0.4986111111111111</v>
      </c>
      <c r="C240" s="7" t="s">
        <v>937</v>
      </c>
      <c r="E240" s="7" t="s">
        <v>938</v>
      </c>
      <c r="F240" s="7">
        <v>16.0</v>
      </c>
      <c r="G240" s="7">
        <v>9.0</v>
      </c>
      <c r="H240" s="7">
        <v>1.35</v>
      </c>
      <c r="I240" s="7">
        <v>3.172</v>
      </c>
      <c r="J240" s="117" t="s">
        <v>911</v>
      </c>
      <c r="K240" s="7" t="s">
        <v>939</v>
      </c>
    </row>
    <row r="241" ht="15.75" customHeight="1">
      <c r="B241" s="116">
        <v>0.5</v>
      </c>
      <c r="C241" s="7" t="s">
        <v>940</v>
      </c>
      <c r="E241" s="7" t="s">
        <v>941</v>
      </c>
      <c r="F241" s="7">
        <v>17.0</v>
      </c>
      <c r="J241" s="117" t="s">
        <v>942</v>
      </c>
      <c r="K241" s="7" t="s">
        <v>943</v>
      </c>
    </row>
    <row r="242" ht="15.75" customHeight="1">
      <c r="J242" s="52"/>
    </row>
    <row r="243" ht="15.75" customHeight="1">
      <c r="B243" s="116">
        <v>0.5013888888888889</v>
      </c>
      <c r="C243" s="7" t="s">
        <v>944</v>
      </c>
      <c r="E243" s="7" t="s">
        <v>945</v>
      </c>
      <c r="F243" s="7">
        <v>18.0</v>
      </c>
      <c r="G243" s="7">
        <v>10.0</v>
      </c>
      <c r="H243" s="7">
        <v>1.35</v>
      </c>
      <c r="I243" s="7">
        <v>3.172</v>
      </c>
      <c r="J243" s="117" t="s">
        <v>942</v>
      </c>
      <c r="K243" s="7" t="s">
        <v>946</v>
      </c>
    </row>
    <row r="244" ht="15.75" customHeight="1">
      <c r="J244" s="52"/>
    </row>
    <row r="245" ht="15.75" customHeight="1">
      <c r="A245" s="7" t="s">
        <v>616</v>
      </c>
      <c r="J245" s="52"/>
    </row>
    <row r="246" ht="15.75" customHeight="1">
      <c r="B246" s="116">
        <v>0.5451388888888888</v>
      </c>
      <c r="C246" s="7" t="s">
        <v>947</v>
      </c>
      <c r="E246" s="7" t="s">
        <v>948</v>
      </c>
      <c r="F246" s="7">
        <v>19.0</v>
      </c>
      <c r="G246" s="7">
        <v>11.0</v>
      </c>
      <c r="H246" s="7">
        <v>1.35</v>
      </c>
      <c r="I246" s="7">
        <v>3.172</v>
      </c>
      <c r="J246" s="117" t="s">
        <v>911</v>
      </c>
      <c r="K246" s="7" t="s">
        <v>949</v>
      </c>
    </row>
    <row r="247" ht="15.75" customHeight="1">
      <c r="B247" s="116">
        <v>0.5625</v>
      </c>
      <c r="C247" s="7" t="s">
        <v>950</v>
      </c>
      <c r="E247" s="7" t="s">
        <v>951</v>
      </c>
      <c r="F247" s="7">
        <v>20.0</v>
      </c>
      <c r="G247" s="7">
        <v>12.0</v>
      </c>
      <c r="H247" s="7">
        <v>1.1</v>
      </c>
      <c r="I247" s="7">
        <v>3.172</v>
      </c>
      <c r="J247" s="117" t="s">
        <v>911</v>
      </c>
      <c r="K247" s="7" t="s">
        <v>952</v>
      </c>
    </row>
    <row r="248" ht="15.75" customHeight="1">
      <c r="B248" s="116">
        <v>0.5729166666666666</v>
      </c>
      <c r="C248" s="7" t="s">
        <v>953</v>
      </c>
      <c r="E248" s="7" t="s">
        <v>954</v>
      </c>
      <c r="F248" s="7">
        <v>21.0</v>
      </c>
      <c r="G248" s="7">
        <v>13.0</v>
      </c>
      <c r="H248" s="7">
        <v>1.35</v>
      </c>
      <c r="I248" s="7">
        <v>3.172</v>
      </c>
      <c r="J248" s="117" t="s">
        <v>942</v>
      </c>
      <c r="K248" s="7" t="s">
        <v>955</v>
      </c>
    </row>
    <row r="249" ht="15.75" customHeight="1">
      <c r="B249" s="116">
        <v>0.5833333333333334</v>
      </c>
      <c r="C249" s="7" t="s">
        <v>956</v>
      </c>
      <c r="E249" s="7" t="s">
        <v>957</v>
      </c>
      <c r="F249" s="7">
        <v>22.0</v>
      </c>
      <c r="G249" s="7">
        <v>14.0</v>
      </c>
      <c r="H249" s="7">
        <v>1.0</v>
      </c>
      <c r="I249" s="7">
        <v>5.529</v>
      </c>
      <c r="J249" s="117" t="s">
        <v>911</v>
      </c>
    </row>
    <row r="250" ht="15.75" customHeight="1">
      <c r="B250" s="116">
        <v>0.6006944444444444</v>
      </c>
      <c r="C250" s="7" t="s">
        <v>958</v>
      </c>
      <c r="E250" s="7" t="s">
        <v>959</v>
      </c>
      <c r="F250" s="7">
        <v>23.0</v>
      </c>
      <c r="J250" s="52"/>
      <c r="K250" s="7" t="s">
        <v>960</v>
      </c>
    </row>
    <row r="251" ht="15.75" customHeight="1">
      <c r="B251" s="116">
        <v>0.6111111111111112</v>
      </c>
      <c r="C251" s="7" t="s">
        <v>958</v>
      </c>
      <c r="E251" s="7" t="s">
        <v>961</v>
      </c>
      <c r="F251" s="7">
        <v>23.0</v>
      </c>
      <c r="G251" s="7">
        <v>15.0</v>
      </c>
      <c r="H251" s="7">
        <v>0.508</v>
      </c>
      <c r="I251" s="7">
        <v>2.91</v>
      </c>
      <c r="J251" s="117" t="s">
        <v>911</v>
      </c>
      <c r="K251" s="7" t="s">
        <v>962</v>
      </c>
    </row>
    <row r="252" ht="15.75" customHeight="1">
      <c r="B252" s="116">
        <v>0.6319444444444444</v>
      </c>
      <c r="C252" s="7" t="s">
        <v>963</v>
      </c>
      <c r="E252" s="7" t="s">
        <v>964</v>
      </c>
      <c r="F252" s="7">
        <v>24.0</v>
      </c>
      <c r="G252" s="7">
        <v>16.0</v>
      </c>
      <c r="H252" s="7">
        <v>0.508</v>
      </c>
      <c r="I252" s="7">
        <v>2.91</v>
      </c>
      <c r="J252" s="117" t="s">
        <v>911</v>
      </c>
      <c r="K252" s="7" t="s">
        <v>965</v>
      </c>
    </row>
    <row r="253" ht="15.75" customHeight="1">
      <c r="B253" s="116">
        <v>0.6527777777777778</v>
      </c>
      <c r="C253" s="7" t="s">
        <v>966</v>
      </c>
      <c r="E253" s="7" t="s">
        <v>967</v>
      </c>
      <c r="F253" s="7">
        <v>25.0</v>
      </c>
      <c r="J253" s="117" t="s">
        <v>968</v>
      </c>
      <c r="K253" s="7" t="s">
        <v>969</v>
      </c>
    </row>
    <row r="254" ht="15.75" customHeight="1">
      <c r="B254" s="116">
        <v>0.6611111111111111</v>
      </c>
      <c r="C254" s="7" t="s">
        <v>970</v>
      </c>
      <c r="E254" s="7" t="s">
        <v>971</v>
      </c>
      <c r="F254" s="7">
        <v>26.0</v>
      </c>
      <c r="G254" s="7">
        <v>17.0</v>
      </c>
      <c r="H254" s="7">
        <v>0.508</v>
      </c>
      <c r="I254" s="7">
        <v>2.91</v>
      </c>
      <c r="J254" s="117" t="s">
        <v>968</v>
      </c>
      <c r="K254" s="7" t="s">
        <v>972</v>
      </c>
    </row>
    <row r="255" ht="15.75" customHeight="1">
      <c r="B255" s="116">
        <v>0.6736111111111112</v>
      </c>
      <c r="C255" s="7" t="s">
        <v>973</v>
      </c>
      <c r="E255" s="7" t="s">
        <v>974</v>
      </c>
      <c r="F255" s="7">
        <v>27.0</v>
      </c>
      <c r="G255" s="7">
        <v>18.0</v>
      </c>
      <c r="H255" s="7">
        <v>0.508</v>
      </c>
      <c r="I255" s="7">
        <v>2.91</v>
      </c>
      <c r="J255" s="117" t="s">
        <v>968</v>
      </c>
      <c r="K255" s="7" t="s">
        <v>975</v>
      </c>
    </row>
    <row r="256" ht="15.75" customHeight="1">
      <c r="B256" s="116">
        <v>0.6944444444444444</v>
      </c>
      <c r="C256" s="7" t="s">
        <v>976</v>
      </c>
      <c r="E256" s="7" t="s">
        <v>977</v>
      </c>
      <c r="F256" s="7">
        <v>28.0</v>
      </c>
      <c r="G256" s="7">
        <v>19.0</v>
      </c>
      <c r="H256" s="7">
        <v>0.508</v>
      </c>
      <c r="I256" s="7">
        <v>2.91</v>
      </c>
      <c r="J256" s="117" t="s">
        <v>968</v>
      </c>
      <c r="K256" s="7" t="s">
        <v>978</v>
      </c>
    </row>
    <row r="257" ht="15.75" customHeight="1">
      <c r="B257" s="116">
        <v>0.7083333333333334</v>
      </c>
      <c r="C257" s="7" t="s">
        <v>979</v>
      </c>
      <c r="E257" s="7" t="s">
        <v>980</v>
      </c>
      <c r="F257" s="7">
        <v>29.0</v>
      </c>
      <c r="G257" s="7">
        <v>20.0</v>
      </c>
      <c r="H257" s="7">
        <v>0.508</v>
      </c>
      <c r="I257" s="7">
        <v>2.91</v>
      </c>
      <c r="J257" s="117" t="s">
        <v>968</v>
      </c>
      <c r="K257" s="7" t="s">
        <v>981</v>
      </c>
    </row>
    <row r="258" ht="15.75" customHeight="1"/>
    <row r="259" ht="15.75" customHeight="1"/>
    <row r="260" ht="15.75" customHeight="1">
      <c r="A260" s="202">
        <v>46245.0</v>
      </c>
    </row>
    <row r="261" ht="15.75" customHeight="1">
      <c r="B261" s="116">
        <v>0.3854166666666667</v>
      </c>
      <c r="C261" s="7" t="s">
        <v>983</v>
      </c>
      <c r="E261" s="7" t="s">
        <v>984</v>
      </c>
      <c r="F261" s="7">
        <v>1.0</v>
      </c>
      <c r="G261" s="7">
        <v>1.0</v>
      </c>
      <c r="H261" s="7">
        <v>0.508</v>
      </c>
      <c r="I261" s="7">
        <v>2.91</v>
      </c>
      <c r="J261" s="117" t="s">
        <v>985</v>
      </c>
      <c r="K261" s="7" t="s">
        <v>986</v>
      </c>
    </row>
    <row r="262" ht="15.75" customHeight="1">
      <c r="B262" s="116">
        <v>0.4013888888888889</v>
      </c>
      <c r="C262" s="7" t="s">
        <v>988</v>
      </c>
      <c r="E262" s="7" t="s">
        <v>989</v>
      </c>
      <c r="F262" s="7">
        <v>2.0</v>
      </c>
      <c r="G262" s="7">
        <v>2.0</v>
      </c>
      <c r="H262" s="7">
        <v>0.508</v>
      </c>
      <c r="I262" s="7">
        <v>2.91</v>
      </c>
      <c r="J262" s="117" t="s">
        <v>985</v>
      </c>
      <c r="K262" s="7" t="s">
        <v>992</v>
      </c>
    </row>
    <row r="263" ht="15.75" customHeight="1">
      <c r="B263" s="116">
        <v>0.4131944444444444</v>
      </c>
      <c r="C263" s="7" t="s">
        <v>993</v>
      </c>
      <c r="E263" s="7" t="s">
        <v>994</v>
      </c>
      <c r="F263" s="7">
        <v>3.0</v>
      </c>
      <c r="G263" s="7">
        <v>3.0</v>
      </c>
      <c r="H263" s="7">
        <v>0.508</v>
      </c>
      <c r="I263" s="7">
        <v>2.91</v>
      </c>
      <c r="J263" s="117" t="s">
        <v>985</v>
      </c>
      <c r="K263" s="7" t="s">
        <v>995</v>
      </c>
    </row>
    <row r="264" ht="15.75" customHeight="1">
      <c r="B264" s="116">
        <v>0.4201388888888889</v>
      </c>
      <c r="C264" s="7" t="s">
        <v>997</v>
      </c>
      <c r="E264" s="7" t="s">
        <v>998</v>
      </c>
      <c r="F264" s="7">
        <v>4.0</v>
      </c>
      <c r="G264" s="7">
        <v>4.0</v>
      </c>
      <c r="H264" s="7">
        <v>0.508</v>
      </c>
      <c r="I264" s="7">
        <v>2.91</v>
      </c>
      <c r="J264" s="117" t="s">
        <v>985</v>
      </c>
      <c r="K264" s="7" t="s">
        <v>1000</v>
      </c>
    </row>
    <row r="265" ht="15.75" customHeight="1">
      <c r="B265" s="116">
        <v>0.4395833333333333</v>
      </c>
      <c r="C265" s="7" t="s">
        <v>1002</v>
      </c>
      <c r="E265" s="7" t="s">
        <v>1003</v>
      </c>
      <c r="F265" s="7">
        <v>5.0</v>
      </c>
      <c r="G265" s="7">
        <v>5.0</v>
      </c>
      <c r="H265" s="7">
        <v>0.508</v>
      </c>
      <c r="I265" s="7">
        <v>2.91</v>
      </c>
      <c r="J265" s="117" t="s">
        <v>985</v>
      </c>
      <c r="K265" s="7" t="s">
        <v>1006</v>
      </c>
    </row>
    <row r="266" ht="15.75" customHeight="1">
      <c r="B266" s="116">
        <v>0.4479166666666667</v>
      </c>
      <c r="C266" s="7" t="s">
        <v>1007</v>
      </c>
      <c r="E266" s="7" t="s">
        <v>998</v>
      </c>
      <c r="F266" s="7">
        <v>6.0</v>
      </c>
      <c r="G266" s="7">
        <v>6.0</v>
      </c>
      <c r="H266" s="7">
        <v>0.508</v>
      </c>
      <c r="I266" s="7">
        <v>2.91</v>
      </c>
      <c r="J266" s="117" t="s">
        <v>985</v>
      </c>
      <c r="K266" s="7" t="s">
        <v>1009</v>
      </c>
    </row>
    <row r="267" ht="15.75" customHeight="1">
      <c r="B267" s="116">
        <v>0.46875</v>
      </c>
      <c r="C267" s="7" t="s">
        <v>1010</v>
      </c>
      <c r="E267" s="7" t="s">
        <v>1011</v>
      </c>
      <c r="F267" s="7">
        <v>7.0</v>
      </c>
      <c r="G267" s="7">
        <v>7.0</v>
      </c>
      <c r="H267" s="7">
        <v>1.0</v>
      </c>
      <c r="I267" s="7">
        <v>5.529</v>
      </c>
      <c r="K267" s="7" t="s">
        <v>1012</v>
      </c>
    </row>
    <row r="268" ht="15.75" customHeight="1">
      <c r="B268" s="116">
        <v>0.4847222222222222</v>
      </c>
      <c r="C268" s="7" t="s">
        <v>1013</v>
      </c>
      <c r="E268" s="7" t="s">
        <v>1014</v>
      </c>
      <c r="F268" s="7">
        <v>8.0</v>
      </c>
      <c r="G268" s="7">
        <v>8.0</v>
      </c>
      <c r="H268" s="7">
        <v>1.0</v>
      </c>
      <c r="I268" s="7">
        <v>5.529</v>
      </c>
      <c r="K268" s="7" t="s">
        <v>225</v>
      </c>
    </row>
    <row r="269" ht="15.75" customHeight="1">
      <c r="B269" s="116">
        <v>0.4895833333333333</v>
      </c>
      <c r="C269" s="7" t="s">
        <v>1016</v>
      </c>
      <c r="E269" s="7" t="s">
        <v>1017</v>
      </c>
      <c r="F269" s="7">
        <v>9.0</v>
      </c>
      <c r="G269" s="7">
        <v>9.0</v>
      </c>
      <c r="H269" s="7">
        <v>1.0</v>
      </c>
      <c r="I269" s="7">
        <v>5.529</v>
      </c>
      <c r="J269" s="117" t="s">
        <v>985</v>
      </c>
      <c r="K269" s="7" t="s">
        <v>1019</v>
      </c>
    </row>
    <row r="270" ht="15.75" customHeight="1"/>
    <row r="271" ht="15.75" customHeight="1">
      <c r="B271" s="116">
        <v>0.5</v>
      </c>
      <c r="C271" s="7" t="s">
        <v>1020</v>
      </c>
      <c r="E271" s="7" t="s">
        <v>1021</v>
      </c>
      <c r="F271" s="7">
        <v>10.0</v>
      </c>
      <c r="G271" s="7">
        <v>10.0</v>
      </c>
      <c r="H271" s="7">
        <v>0.67</v>
      </c>
      <c r="I271" s="7">
        <v>5.529</v>
      </c>
      <c r="J271" s="117" t="s">
        <v>985</v>
      </c>
      <c r="K271" s="7" t="s">
        <v>1023</v>
      </c>
    </row>
    <row r="272" ht="15.75" customHeight="1"/>
    <row r="273" ht="15.75" customHeight="1">
      <c r="A273" s="7" t="s">
        <v>616</v>
      </c>
      <c r="J273" s="52"/>
    </row>
    <row r="274" ht="15.75" customHeight="1">
      <c r="B274" s="116">
        <v>0.5527777777777778</v>
      </c>
      <c r="C274" s="7" t="s">
        <v>1024</v>
      </c>
      <c r="E274" s="7" t="s">
        <v>1025</v>
      </c>
      <c r="F274" s="7">
        <v>11.0</v>
      </c>
      <c r="G274" s="7" t="s">
        <v>1026</v>
      </c>
      <c r="H274" s="7">
        <v>1.35</v>
      </c>
      <c r="I274" s="7">
        <v>3.172</v>
      </c>
      <c r="J274" s="117" t="s">
        <v>985</v>
      </c>
      <c r="K274" s="7" t="s">
        <v>1028</v>
      </c>
    </row>
    <row r="275" ht="15.75" customHeight="1">
      <c r="B275" s="116">
        <v>0.5701388888888889</v>
      </c>
      <c r="C275" s="7" t="s">
        <v>1029</v>
      </c>
      <c r="E275" s="7" t="s">
        <v>1030</v>
      </c>
      <c r="F275" s="7">
        <v>12.0</v>
      </c>
      <c r="G275" s="7" t="s">
        <v>1032</v>
      </c>
      <c r="H275" s="7">
        <v>1.35</v>
      </c>
      <c r="I275" s="7">
        <v>3.172</v>
      </c>
      <c r="J275" s="117" t="s">
        <v>1034</v>
      </c>
      <c r="K275" s="7" t="s">
        <v>1035</v>
      </c>
    </row>
    <row r="276" ht="15.75" customHeight="1">
      <c r="B276" s="116">
        <v>0.5833333333333334</v>
      </c>
      <c r="C276" s="7" t="s">
        <v>1036</v>
      </c>
      <c r="E276" s="7" t="s">
        <v>1037</v>
      </c>
      <c r="F276" s="7">
        <v>13.0</v>
      </c>
      <c r="G276" s="7">
        <v>13.0</v>
      </c>
      <c r="H276" s="7">
        <v>1.35</v>
      </c>
      <c r="I276" s="7">
        <v>3.172</v>
      </c>
      <c r="J276" s="117" t="s">
        <v>883</v>
      </c>
      <c r="K276" s="7" t="s">
        <v>1028</v>
      </c>
    </row>
    <row r="277" ht="15.75" customHeight="1">
      <c r="B277" s="116">
        <v>0.5972222222222222</v>
      </c>
      <c r="C277" s="7" t="s">
        <v>1038</v>
      </c>
      <c r="E277" s="7" t="s">
        <v>1039</v>
      </c>
      <c r="F277" s="7">
        <v>14.0</v>
      </c>
      <c r="G277" s="7" t="s">
        <v>1040</v>
      </c>
      <c r="H277" s="7">
        <v>0.508</v>
      </c>
      <c r="I277" s="7">
        <v>2.91</v>
      </c>
      <c r="J277" s="117" t="s">
        <v>968</v>
      </c>
      <c r="K277" s="7" t="s">
        <v>1041</v>
      </c>
    </row>
    <row r="278" ht="15.75" customHeight="1">
      <c r="B278" s="116">
        <v>0.6118055555555556</v>
      </c>
      <c r="C278" s="7" t="s">
        <v>1042</v>
      </c>
      <c r="E278" s="7" t="s">
        <v>1043</v>
      </c>
      <c r="F278" s="7">
        <v>15.0</v>
      </c>
      <c r="G278" s="7" t="s">
        <v>1044</v>
      </c>
      <c r="H278" s="7">
        <v>0.508</v>
      </c>
      <c r="I278" s="7">
        <v>2.91</v>
      </c>
      <c r="J278" s="117" t="s">
        <v>968</v>
      </c>
      <c r="K278" s="7" t="s">
        <v>97</v>
      </c>
    </row>
    <row r="279" ht="15.75" customHeight="1">
      <c r="B279" s="116">
        <v>0.625</v>
      </c>
      <c r="C279" s="7" t="s">
        <v>1046</v>
      </c>
      <c r="E279" s="7" t="s">
        <v>1047</v>
      </c>
      <c r="F279" s="7">
        <v>16.0</v>
      </c>
      <c r="G279" s="7" t="s">
        <v>1048</v>
      </c>
      <c r="H279" s="7">
        <v>0.508</v>
      </c>
      <c r="I279" s="7">
        <v>2.91</v>
      </c>
      <c r="J279" s="117" t="s">
        <v>968</v>
      </c>
      <c r="K279" s="7" t="s">
        <v>1049</v>
      </c>
    </row>
    <row r="280" ht="15.75" customHeight="1">
      <c r="B280" s="116">
        <v>0.6388888888888888</v>
      </c>
      <c r="C280" s="7" t="s">
        <v>1050</v>
      </c>
      <c r="E280" s="7" t="s">
        <v>1051</v>
      </c>
      <c r="F280" s="7">
        <v>17.0</v>
      </c>
      <c r="G280" s="7" t="s">
        <v>1052</v>
      </c>
      <c r="H280" s="7">
        <v>0.897</v>
      </c>
      <c r="I280" s="7">
        <v>4.976</v>
      </c>
      <c r="J280" s="7" t="s">
        <v>225</v>
      </c>
      <c r="K280" s="7" t="s">
        <v>1054</v>
      </c>
    </row>
    <row r="281" ht="15.75" customHeight="1">
      <c r="B281" s="116">
        <v>0.6597222222222222</v>
      </c>
      <c r="C281" s="7" t="s">
        <v>1055</v>
      </c>
      <c r="E281" s="7" t="s">
        <v>1056</v>
      </c>
      <c r="F281" s="7">
        <v>18.0</v>
      </c>
      <c r="G281" s="7" t="s">
        <v>1058</v>
      </c>
      <c r="H281" s="7">
        <v>0.897</v>
      </c>
      <c r="I281" s="7">
        <v>4.976</v>
      </c>
      <c r="K281" s="7" t="s">
        <v>1059</v>
      </c>
    </row>
    <row r="282" ht="15.75" customHeight="1">
      <c r="B282" s="121">
        <v>0.17222222222222222</v>
      </c>
      <c r="C282" s="7" t="s">
        <v>1060</v>
      </c>
      <c r="E282" s="7" t="s">
        <v>1061</v>
      </c>
      <c r="F282" s="7">
        <v>19.0</v>
      </c>
      <c r="G282" s="7" t="s">
        <v>1062</v>
      </c>
      <c r="H282" s="7">
        <v>0.897</v>
      </c>
      <c r="I282" s="7">
        <v>4.976</v>
      </c>
      <c r="K282" s="7" t="s">
        <v>1063</v>
      </c>
    </row>
    <row r="283" ht="15.75" customHeight="1">
      <c r="B283" s="121">
        <v>0.1875</v>
      </c>
      <c r="C283" s="7" t="s">
        <v>1064</v>
      </c>
      <c r="E283" s="7" t="s">
        <v>1065</v>
      </c>
      <c r="F283" s="7">
        <v>20.0</v>
      </c>
      <c r="G283" s="7" t="s">
        <v>1066</v>
      </c>
      <c r="H283" s="7">
        <v>0.897</v>
      </c>
      <c r="I283" s="7">
        <v>4.976</v>
      </c>
      <c r="J283" s="117" t="s">
        <v>1067</v>
      </c>
      <c r="K283" s="7"/>
    </row>
    <row r="284" ht="15.75" customHeight="1">
      <c r="B284" s="116">
        <v>0.7013888888888888</v>
      </c>
      <c r="C284" s="7" t="s">
        <v>1069</v>
      </c>
      <c r="E284" s="7" t="s">
        <v>1070</v>
      </c>
      <c r="F284" s="7">
        <v>21.0</v>
      </c>
      <c r="G284" s="7" t="s">
        <v>1071</v>
      </c>
      <c r="H284" s="7">
        <v>0.88</v>
      </c>
      <c r="I284" s="7">
        <v>4.2</v>
      </c>
      <c r="J284" s="7" t="s">
        <v>1072</v>
      </c>
      <c r="K284" s="7" t="s">
        <v>1073</v>
      </c>
    </row>
    <row r="285" ht="15.75" customHeight="1"/>
    <row r="286" ht="15.75" customHeight="1"/>
    <row r="287" ht="15.75" customHeight="1">
      <c r="A287" s="223">
        <v>46246.0</v>
      </c>
    </row>
    <row r="288" ht="15.75" customHeight="1">
      <c r="B288" s="116">
        <v>0.375</v>
      </c>
      <c r="C288" s="7" t="s">
        <v>1075</v>
      </c>
      <c r="E288" s="7" t="s">
        <v>1076</v>
      </c>
      <c r="J288" s="117" t="s">
        <v>1067</v>
      </c>
      <c r="K288" s="7" t="s">
        <v>1077</v>
      </c>
    </row>
    <row r="289" ht="15.75" customHeight="1">
      <c r="C289" s="7" t="s">
        <v>225</v>
      </c>
      <c r="E289" s="7" t="s">
        <v>1078</v>
      </c>
      <c r="J289" s="117" t="s">
        <v>1067</v>
      </c>
    </row>
    <row r="290" ht="15.75" customHeight="1">
      <c r="C290" s="7" t="s">
        <v>225</v>
      </c>
      <c r="E290" s="7" t="s">
        <v>1079</v>
      </c>
      <c r="J290" s="117" t="s">
        <v>1067</v>
      </c>
      <c r="K290" s="7" t="s">
        <v>1080</v>
      </c>
    </row>
    <row r="291" ht="15.75" customHeight="1">
      <c r="C291" s="7" t="s">
        <v>225</v>
      </c>
      <c r="E291" s="7" t="s">
        <v>1081</v>
      </c>
      <c r="J291" s="117" t="s">
        <v>1067</v>
      </c>
      <c r="K291" s="7" t="s">
        <v>1082</v>
      </c>
    </row>
    <row r="292" ht="15.75" customHeight="1">
      <c r="B292" s="116">
        <v>0.3888888888888889</v>
      </c>
      <c r="C292" s="7" t="s">
        <v>225</v>
      </c>
      <c r="E292" s="7" t="s">
        <v>1084</v>
      </c>
      <c r="J292" s="117" t="s">
        <v>1067</v>
      </c>
      <c r="K292" s="7" t="s">
        <v>1085</v>
      </c>
    </row>
    <row r="293" ht="15.75" customHeight="1">
      <c r="E293" s="7" t="s">
        <v>1086</v>
      </c>
      <c r="J293" s="117" t="s">
        <v>1067</v>
      </c>
      <c r="K293" s="7" t="s">
        <v>1087</v>
      </c>
    </row>
    <row r="294" ht="15.75" customHeight="1">
      <c r="E294" s="7" t="s">
        <v>1088</v>
      </c>
      <c r="J294" s="117" t="s">
        <v>1067</v>
      </c>
      <c r="K294" s="7" t="s">
        <v>1088</v>
      </c>
    </row>
    <row r="295" ht="15.75" customHeight="1">
      <c r="E295" s="7" t="s">
        <v>1090</v>
      </c>
      <c r="K295" s="7" t="s">
        <v>1091</v>
      </c>
    </row>
    <row r="296" ht="15.75" customHeight="1"/>
    <row r="297" ht="15.75" customHeight="1">
      <c r="E297" s="297" t="s">
        <v>1092</v>
      </c>
      <c r="K297" s="7" t="s">
        <v>1093</v>
      </c>
    </row>
    <row r="298" ht="15.75" customHeight="1">
      <c r="K298" s="7" t="s">
        <v>1095</v>
      </c>
    </row>
    <row r="299" ht="15.75" customHeight="1">
      <c r="K299" s="7" t="s">
        <v>1096</v>
      </c>
    </row>
    <row r="300" ht="15.75" customHeight="1">
      <c r="E300" s="7" t="s">
        <v>1097</v>
      </c>
      <c r="J300" s="117" t="s">
        <v>1098</v>
      </c>
      <c r="K300" s="7" t="s">
        <v>1099</v>
      </c>
    </row>
    <row r="301" ht="15.75" customHeight="1">
      <c r="E301" s="7" t="s">
        <v>1100</v>
      </c>
      <c r="J301" s="117" t="s">
        <v>1101</v>
      </c>
      <c r="K301" s="7" t="s">
        <v>1099</v>
      </c>
    </row>
    <row r="302" ht="15.75" customHeight="1">
      <c r="E302" s="7" t="s">
        <v>1102</v>
      </c>
      <c r="K302" s="7" t="s">
        <v>1103</v>
      </c>
    </row>
    <row r="303" ht="15.75" customHeight="1">
      <c r="E303" s="7" t="s">
        <v>1104</v>
      </c>
      <c r="K303" s="7" t="s">
        <v>1105</v>
      </c>
    </row>
    <row r="304" ht="15.75" customHeight="1">
      <c r="E304" s="7" t="s">
        <v>1106</v>
      </c>
      <c r="K304" s="7" t="s">
        <v>1107</v>
      </c>
    </row>
    <row r="305" ht="15.75" customHeight="1"/>
    <row r="306" ht="15.75" customHeight="1"/>
    <row r="307" ht="15.75" customHeight="1"/>
    <row r="308" ht="15.75" customHeight="1">
      <c r="B308" s="116">
        <v>0.4652777777777778</v>
      </c>
      <c r="C308" s="13" t="s">
        <v>1108</v>
      </c>
      <c r="D308" s="10"/>
      <c r="E308" s="13" t="s">
        <v>1109</v>
      </c>
      <c r="F308" s="240">
        <v>2.0</v>
      </c>
      <c r="G308" s="7" t="s">
        <v>1110</v>
      </c>
      <c r="H308" s="7">
        <v>0.897</v>
      </c>
      <c r="I308" s="7">
        <v>4.976</v>
      </c>
      <c r="J308" s="298" t="s">
        <v>1067</v>
      </c>
      <c r="K308" s="13" t="s">
        <v>1112</v>
      </c>
    </row>
    <row r="309" ht="15.75" customHeight="1">
      <c r="B309" s="116">
        <v>0.4791666666666667</v>
      </c>
      <c r="C309" s="13" t="s">
        <v>1113</v>
      </c>
      <c r="E309" s="239" t="s">
        <v>1114</v>
      </c>
      <c r="F309" s="7">
        <v>3.0</v>
      </c>
      <c r="G309" s="7" t="s">
        <v>1115</v>
      </c>
      <c r="H309" s="7">
        <v>0.847</v>
      </c>
      <c r="I309" s="7">
        <v>3.433</v>
      </c>
      <c r="J309" s="7" t="s">
        <v>225</v>
      </c>
      <c r="K309" s="7" t="s">
        <v>1116</v>
      </c>
    </row>
    <row r="310" ht="15.75" customHeight="1">
      <c r="B310" s="116">
        <v>0.4930555555555556</v>
      </c>
      <c r="C310" s="13" t="s">
        <v>1118</v>
      </c>
      <c r="E310" s="13" t="s">
        <v>1119</v>
      </c>
      <c r="F310" s="7">
        <v>4.0</v>
      </c>
      <c r="G310" s="7" t="s">
        <v>1120</v>
      </c>
      <c r="H310" s="7">
        <v>0.686</v>
      </c>
      <c r="I310" s="7">
        <v>3.084</v>
      </c>
      <c r="K310" s="7" t="s">
        <v>1121</v>
      </c>
    </row>
    <row r="311" ht="15.75" customHeight="1">
      <c r="B311" s="116">
        <v>0.5</v>
      </c>
      <c r="C311" s="13" t="s">
        <v>1122</v>
      </c>
      <c r="E311" s="13" t="s">
        <v>1123</v>
      </c>
      <c r="F311" s="7">
        <v>5.0</v>
      </c>
      <c r="G311" s="7" t="s">
        <v>1124</v>
      </c>
      <c r="H311" s="7">
        <v>0.686</v>
      </c>
      <c r="I311" s="7">
        <v>3.084</v>
      </c>
      <c r="K311" s="7" t="s">
        <v>1125</v>
      </c>
    </row>
    <row r="312" ht="15.75" customHeight="1"/>
    <row r="313" ht="15.75" customHeight="1"/>
    <row r="314" ht="15.75" customHeight="1">
      <c r="B314" s="116">
        <v>0.5138888888888888</v>
      </c>
      <c r="C314" s="13" t="s">
        <v>1126</v>
      </c>
      <c r="E314" s="7" t="s">
        <v>1127</v>
      </c>
      <c r="F314" s="7">
        <v>6.0</v>
      </c>
      <c r="K314" s="7" t="s">
        <v>1128</v>
      </c>
    </row>
    <row r="315" ht="15.75" customHeight="1">
      <c r="C315" s="13" t="s">
        <v>1126</v>
      </c>
      <c r="E315" s="7" t="s">
        <v>1129</v>
      </c>
      <c r="F315" s="7">
        <v>6.0</v>
      </c>
      <c r="K315" s="7" t="s">
        <v>1130</v>
      </c>
    </row>
    <row r="316" ht="15.75" customHeight="1">
      <c r="K316" s="7" t="s">
        <v>1131</v>
      </c>
    </row>
    <row r="317" ht="15.75" customHeight="1">
      <c r="B317" s="7" t="s">
        <v>616</v>
      </c>
    </row>
    <row r="318" ht="15.75" customHeight="1">
      <c r="B318" s="116">
        <v>0.5472222222222223</v>
      </c>
      <c r="C318" s="13" t="s">
        <v>1132</v>
      </c>
      <c r="E318" s="7" t="s">
        <v>1133</v>
      </c>
      <c r="F318" s="7">
        <v>7.0</v>
      </c>
      <c r="G318" s="7" t="s">
        <v>1134</v>
      </c>
      <c r="H318" s="7">
        <v>0.508</v>
      </c>
      <c r="I318" s="7">
        <v>2.91</v>
      </c>
      <c r="K318" s="7" t="s">
        <v>1135</v>
      </c>
    </row>
    <row r="319" ht="15.75" customHeight="1">
      <c r="B319" s="116">
        <v>0.5597222222222222</v>
      </c>
      <c r="C319" s="13" t="s">
        <v>1136</v>
      </c>
      <c r="E319" s="7" t="s">
        <v>1137</v>
      </c>
    </row>
    <row r="320" ht="15.75" customHeight="1">
      <c r="B320" s="116">
        <v>0.5694444444444444</v>
      </c>
      <c r="C320" s="13" t="s">
        <v>1138</v>
      </c>
      <c r="E320" s="7" t="s">
        <v>1139</v>
      </c>
      <c r="F320" s="7">
        <v>8.0</v>
      </c>
      <c r="G320" s="7" t="s">
        <v>1140</v>
      </c>
      <c r="H320" s="162">
        <v>0.508</v>
      </c>
      <c r="I320" s="162">
        <v>2.91</v>
      </c>
      <c r="K320" s="7" t="s">
        <v>1141</v>
      </c>
    </row>
    <row r="321" ht="15.75" customHeight="1">
      <c r="C321" s="13" t="s">
        <v>1142</v>
      </c>
      <c r="E321" s="7" t="s">
        <v>1143</v>
      </c>
      <c r="F321" s="7">
        <v>9.0</v>
      </c>
      <c r="G321" s="7" t="s">
        <v>1144</v>
      </c>
      <c r="H321" s="7">
        <v>0.508</v>
      </c>
      <c r="I321" s="7">
        <v>2.91</v>
      </c>
      <c r="K321" s="7" t="s">
        <v>1141</v>
      </c>
    </row>
    <row r="322" ht="15.75" customHeight="1">
      <c r="B322" s="121">
        <v>0.09722222222222222</v>
      </c>
      <c r="C322" s="13" t="s">
        <v>1145</v>
      </c>
      <c r="E322" s="7" t="s">
        <v>1146</v>
      </c>
      <c r="F322" s="7">
        <v>10.0</v>
      </c>
      <c r="G322" s="7" t="s">
        <v>1147</v>
      </c>
      <c r="H322" s="162">
        <v>0.897</v>
      </c>
      <c r="I322" s="162">
        <v>4.976</v>
      </c>
    </row>
    <row r="323" ht="15.75" customHeight="1">
      <c r="B323" s="121">
        <v>0.1111111111111111</v>
      </c>
      <c r="C323" s="13" t="s">
        <v>1148</v>
      </c>
      <c r="E323" s="7" t="s">
        <v>1149</v>
      </c>
      <c r="F323" s="7">
        <v>11.0</v>
      </c>
      <c r="G323" s="7" t="s">
        <v>1150</v>
      </c>
      <c r="H323" s="7">
        <v>0.897</v>
      </c>
      <c r="I323" s="7">
        <v>4.976</v>
      </c>
    </row>
    <row r="324" ht="15.75" customHeight="1">
      <c r="B324" s="116">
        <v>0.6284722222222222</v>
      </c>
      <c r="C324" s="13" t="s">
        <v>1151</v>
      </c>
      <c r="E324" s="237" t="s">
        <v>1152</v>
      </c>
      <c r="F324" s="7">
        <v>12.0</v>
      </c>
      <c r="G324" s="7" t="s">
        <v>1153</v>
      </c>
      <c r="H324" s="162">
        <v>0.847</v>
      </c>
      <c r="I324" s="162">
        <v>3.433</v>
      </c>
    </row>
    <row r="325" ht="15.75" customHeight="1">
      <c r="B325" s="116">
        <v>0.6388888888888888</v>
      </c>
      <c r="C325" s="13" t="s">
        <v>1154</v>
      </c>
      <c r="E325" s="7" t="s">
        <v>1155</v>
      </c>
      <c r="F325" s="7">
        <v>13.0</v>
      </c>
      <c r="G325" s="7" t="s">
        <v>1156</v>
      </c>
      <c r="H325" s="7">
        <v>0.847</v>
      </c>
      <c r="I325" s="7">
        <v>3.433</v>
      </c>
      <c r="K325" s="7" t="s">
        <v>1157</v>
      </c>
    </row>
    <row r="326" ht="15.75" customHeight="1">
      <c r="B326" s="116">
        <v>0.6597222222222222</v>
      </c>
      <c r="C326" s="13" t="s">
        <v>1158</v>
      </c>
      <c r="E326" s="7" t="s">
        <v>1159</v>
      </c>
      <c r="F326" s="7">
        <v>14.0</v>
      </c>
      <c r="G326" s="7" t="s">
        <v>1160</v>
      </c>
      <c r="H326" s="7">
        <v>0.686</v>
      </c>
      <c r="I326" s="7">
        <v>3.084</v>
      </c>
    </row>
    <row r="327" ht="15.75" customHeight="1">
      <c r="B327" s="116">
        <v>0.6770833333333334</v>
      </c>
      <c r="C327" s="13" t="s">
        <v>1162</v>
      </c>
      <c r="E327" s="212" t="s">
        <v>1163</v>
      </c>
      <c r="F327" s="212">
        <v>15.0</v>
      </c>
      <c r="G327" s="212" t="s">
        <v>1164</v>
      </c>
      <c r="H327" s="212">
        <v>0.508</v>
      </c>
      <c r="I327" s="212">
        <v>2.91</v>
      </c>
      <c r="K327" s="7" t="s">
        <v>1165</v>
      </c>
    </row>
    <row r="328" ht="15.75" customHeight="1">
      <c r="E328" s="212" t="s">
        <v>1166</v>
      </c>
    </row>
    <row r="329" ht="15.75" customHeight="1">
      <c r="B329" s="116">
        <v>0.6875</v>
      </c>
      <c r="C329" s="13" t="s">
        <v>1167</v>
      </c>
      <c r="E329" s="7" t="s">
        <v>1168</v>
      </c>
      <c r="F329" s="7">
        <v>16.0</v>
      </c>
      <c r="G329" s="7" t="s">
        <v>1040</v>
      </c>
      <c r="H329" s="7">
        <v>0.897</v>
      </c>
      <c r="I329" s="7">
        <v>4.976</v>
      </c>
      <c r="J329" s="117"/>
      <c r="K329" s="7" t="s">
        <v>1169</v>
      </c>
    </row>
    <row r="330" ht="15.75" customHeight="1">
      <c r="B330" s="116">
        <v>0.7013888888888888</v>
      </c>
      <c r="C330" s="13" t="s">
        <v>1170</v>
      </c>
      <c r="E330" s="7" t="s">
        <v>1171</v>
      </c>
      <c r="F330" s="7">
        <v>17.0</v>
      </c>
      <c r="G330" s="7" t="s">
        <v>1172</v>
      </c>
      <c r="H330" s="7">
        <v>0.897</v>
      </c>
      <c r="I330" s="7">
        <v>4.976</v>
      </c>
      <c r="J330" s="52"/>
    </row>
    <row r="331" ht="15.75" customHeight="1">
      <c r="J331" s="52"/>
    </row>
    <row r="332" ht="15.75" customHeight="1">
      <c r="A332" s="202">
        <v>46247.0</v>
      </c>
      <c r="J332" s="52"/>
    </row>
    <row r="333" ht="15.75" customHeight="1">
      <c r="B333" s="116">
        <v>0.3819444444444444</v>
      </c>
      <c r="C333" s="13" t="s">
        <v>1174</v>
      </c>
      <c r="E333" s="7" t="s">
        <v>1175</v>
      </c>
      <c r="F333" s="7">
        <v>1.0</v>
      </c>
      <c r="G333" s="7" t="s">
        <v>1176</v>
      </c>
      <c r="H333" s="7">
        <v>0.508</v>
      </c>
      <c r="I333" s="7">
        <v>2.91</v>
      </c>
      <c r="J333" s="52"/>
      <c r="K333" s="7" t="s">
        <v>1177</v>
      </c>
    </row>
    <row r="334" ht="15.75" customHeight="1">
      <c r="B334" s="116">
        <v>0.39166666666666666</v>
      </c>
      <c r="C334" s="13" t="s">
        <v>1178</v>
      </c>
      <c r="E334" s="7" t="s">
        <v>1179</v>
      </c>
      <c r="F334" s="7">
        <v>2.0</v>
      </c>
      <c r="G334" s="7" t="s">
        <v>1180</v>
      </c>
      <c r="H334" s="7">
        <v>0.508</v>
      </c>
      <c r="I334" s="7">
        <v>2.91</v>
      </c>
      <c r="J334" s="52"/>
    </row>
    <row r="335" ht="15.75" customHeight="1">
      <c r="B335" s="116">
        <v>0.40625</v>
      </c>
      <c r="C335" s="13" t="s">
        <v>1181</v>
      </c>
      <c r="E335" s="7" t="s">
        <v>1182</v>
      </c>
      <c r="F335" s="7">
        <v>3.0</v>
      </c>
      <c r="G335" s="7" t="s">
        <v>1183</v>
      </c>
      <c r="H335" s="7">
        <v>0.508</v>
      </c>
      <c r="I335" s="7">
        <v>2.91</v>
      </c>
      <c r="J335" s="52"/>
      <c r="K335" s="7" t="s">
        <v>1184</v>
      </c>
    </row>
    <row r="336" ht="15.75" customHeight="1">
      <c r="B336" s="116"/>
      <c r="C336" s="13"/>
      <c r="E336" s="7"/>
      <c r="F336" s="7"/>
      <c r="G336" s="7"/>
      <c r="H336" s="7"/>
      <c r="I336" s="7"/>
      <c r="J336" s="52"/>
    </row>
    <row r="337" ht="15.75" customHeight="1">
      <c r="B337" s="116"/>
      <c r="C337" s="13"/>
      <c r="E337" s="212" t="s">
        <v>1186</v>
      </c>
      <c r="F337" s="7"/>
      <c r="G337" s="7"/>
      <c r="H337" s="7"/>
      <c r="I337" s="7"/>
      <c r="J337" s="52"/>
    </row>
    <row r="338" ht="15.75" customHeight="1">
      <c r="B338" s="116">
        <v>0.4166666666666667</v>
      </c>
      <c r="C338" s="13" t="s">
        <v>1187</v>
      </c>
      <c r="E338" s="7" t="s">
        <v>1188</v>
      </c>
      <c r="F338" s="7">
        <v>4.0</v>
      </c>
      <c r="G338" s="7" t="s">
        <v>1189</v>
      </c>
      <c r="H338" s="7">
        <v>0.508</v>
      </c>
      <c r="I338" s="7">
        <v>2.91</v>
      </c>
      <c r="J338" s="52"/>
    </row>
    <row r="339" ht="15.75" customHeight="1">
      <c r="B339" s="116">
        <v>0.4375</v>
      </c>
      <c r="C339" s="13" t="s">
        <v>1187</v>
      </c>
      <c r="E339" s="7" t="s">
        <v>1190</v>
      </c>
      <c r="F339" s="7">
        <v>5.0</v>
      </c>
      <c r="G339" s="7" t="s">
        <v>1134</v>
      </c>
      <c r="H339" s="7">
        <v>0.508</v>
      </c>
      <c r="I339" s="7">
        <v>2.91</v>
      </c>
      <c r="J339" s="52"/>
      <c r="K339" s="7" t="s">
        <v>1191</v>
      </c>
    </row>
    <row r="340" ht="15.75" customHeight="1">
      <c r="B340" s="116">
        <v>0.4375</v>
      </c>
      <c r="C340" s="13" t="s">
        <v>1192</v>
      </c>
      <c r="E340" s="7" t="s">
        <v>1193</v>
      </c>
      <c r="F340" s="7">
        <v>6.0</v>
      </c>
      <c r="G340" s="7" t="s">
        <v>1194</v>
      </c>
      <c r="H340" s="7">
        <v>0.508</v>
      </c>
      <c r="I340" s="7">
        <v>2.91</v>
      </c>
      <c r="J340" s="52"/>
      <c r="K340" s="7" t="s">
        <v>1196</v>
      </c>
    </row>
    <row r="341" ht="15.75" customHeight="1">
      <c r="B341" s="116">
        <v>0.4583333333333333</v>
      </c>
      <c r="C341" s="13" t="s">
        <v>1198</v>
      </c>
      <c r="E341" s="7" t="s">
        <v>1199</v>
      </c>
      <c r="F341" s="7">
        <v>8.0</v>
      </c>
      <c r="G341" s="7" t="s">
        <v>1200</v>
      </c>
      <c r="H341" s="7">
        <v>0.508</v>
      </c>
      <c r="I341" s="7">
        <v>2.91</v>
      </c>
      <c r="J341" s="117" t="s">
        <v>1202</v>
      </c>
      <c r="K341" s="7" t="s">
        <v>1203</v>
      </c>
    </row>
    <row r="342" ht="15.75" customHeight="1">
      <c r="B342" s="116">
        <v>0.47430555555555554</v>
      </c>
      <c r="C342" s="13" t="s">
        <v>1205</v>
      </c>
      <c r="E342" s="7" t="s">
        <v>1206</v>
      </c>
      <c r="F342" s="7">
        <v>9.0</v>
      </c>
      <c r="G342" s="7" t="s">
        <v>1150</v>
      </c>
      <c r="H342" s="7">
        <v>0.897</v>
      </c>
      <c r="I342" s="7">
        <v>4.976</v>
      </c>
      <c r="J342" s="52"/>
      <c r="K342" s="7" t="s">
        <v>1207</v>
      </c>
    </row>
    <row r="343" ht="15.75" customHeight="1">
      <c r="J343" s="52"/>
    </row>
    <row r="344" ht="15.75" customHeight="1"/>
    <row r="345" ht="15.75" customHeight="1">
      <c r="B345" s="116">
        <v>0.4895833333333333</v>
      </c>
      <c r="C345" s="13" t="s">
        <v>1208</v>
      </c>
      <c r="E345" s="7" t="s">
        <v>1209</v>
      </c>
      <c r="F345" s="7">
        <v>10.0</v>
      </c>
      <c r="G345" s="7" t="s">
        <v>1153</v>
      </c>
      <c r="H345" s="7">
        <v>0.897</v>
      </c>
      <c r="I345" s="7">
        <v>4.976</v>
      </c>
      <c r="J345" s="117" t="s">
        <v>1202</v>
      </c>
      <c r="K345" s="7" t="s">
        <v>1211</v>
      </c>
    </row>
    <row r="346" ht="15.75" customHeight="1">
      <c r="B346" s="116">
        <v>0.5</v>
      </c>
      <c r="C346" s="13" t="s">
        <v>1213</v>
      </c>
      <c r="E346" s="7" t="s">
        <v>1214</v>
      </c>
      <c r="F346" s="7">
        <v>11.0</v>
      </c>
      <c r="G346" s="7" t="s">
        <v>1156</v>
      </c>
      <c r="H346" s="7">
        <v>0.897</v>
      </c>
      <c r="I346" s="7">
        <v>4.976</v>
      </c>
      <c r="J346" s="117" t="s">
        <v>1218</v>
      </c>
      <c r="K346" s="7" t="s">
        <v>1219</v>
      </c>
    </row>
    <row r="347" ht="15.75" customHeight="1">
      <c r="A347" s="7"/>
      <c r="C347" s="13"/>
      <c r="E347" s="7"/>
      <c r="J347" s="117"/>
      <c r="K347" s="7"/>
    </row>
    <row r="348" ht="15.75" customHeight="1">
      <c r="A348" s="7"/>
      <c r="C348" s="13"/>
      <c r="E348" s="7"/>
      <c r="J348" s="117"/>
      <c r="K348" s="7"/>
    </row>
    <row r="349" ht="15.75" customHeight="1">
      <c r="A349" s="7" t="s">
        <v>616</v>
      </c>
      <c r="C349" s="13"/>
      <c r="E349" s="7"/>
      <c r="J349" s="117"/>
      <c r="K349" s="7"/>
    </row>
    <row r="350" ht="15.75" customHeight="1">
      <c r="B350" s="116">
        <v>0.5416666666666666</v>
      </c>
      <c r="C350" s="13" t="s">
        <v>1221</v>
      </c>
      <c r="E350" s="7" t="s">
        <v>1222</v>
      </c>
      <c r="F350" s="7">
        <v>12.0</v>
      </c>
      <c r="G350" s="7" t="s">
        <v>1160</v>
      </c>
      <c r="H350" s="7">
        <v>0.897</v>
      </c>
      <c r="I350" s="7">
        <v>4.976</v>
      </c>
      <c r="J350" s="117" t="s">
        <v>1202</v>
      </c>
      <c r="K350" s="7" t="s">
        <v>1223</v>
      </c>
    </row>
    <row r="351" ht="15.75" customHeight="1">
      <c r="B351" s="116">
        <v>0.5625</v>
      </c>
      <c r="C351" s="13" t="s">
        <v>1225</v>
      </c>
      <c r="E351" s="7" t="s">
        <v>1226</v>
      </c>
      <c r="F351" s="7">
        <v>13.0</v>
      </c>
      <c r="G351" s="7" t="s">
        <v>1160</v>
      </c>
      <c r="H351" s="7">
        <v>0.897</v>
      </c>
      <c r="I351" s="7">
        <v>4.976</v>
      </c>
      <c r="J351" s="117" t="s">
        <v>1202</v>
      </c>
      <c r="K351" s="7" t="s">
        <v>1227</v>
      </c>
    </row>
    <row r="352" ht="15.75" customHeight="1">
      <c r="B352" s="116">
        <v>0.5729166666666666</v>
      </c>
      <c r="C352" s="13" t="s">
        <v>1229</v>
      </c>
      <c r="E352" s="13" t="s">
        <v>1230</v>
      </c>
      <c r="F352" s="7">
        <v>14.0</v>
      </c>
      <c r="G352" s="7" t="s">
        <v>1232</v>
      </c>
      <c r="H352" s="7">
        <v>0.897</v>
      </c>
      <c r="I352" s="7">
        <v>4.976</v>
      </c>
      <c r="J352" s="117" t="s">
        <v>1202</v>
      </c>
      <c r="K352" s="7" t="s">
        <v>1233</v>
      </c>
    </row>
    <row r="353" ht="15.75" customHeight="1">
      <c r="B353" s="116">
        <v>0.5833333333333334</v>
      </c>
      <c r="C353" s="13" t="s">
        <v>1234</v>
      </c>
      <c r="E353" s="7" t="s">
        <v>1235</v>
      </c>
      <c r="F353" s="7">
        <v>16.0</v>
      </c>
      <c r="G353" s="7"/>
      <c r="H353" s="7"/>
      <c r="I353" s="7"/>
      <c r="J353" s="52"/>
    </row>
    <row r="354" ht="15.75" customHeight="1">
      <c r="B354" s="116">
        <v>0.5833333333333334</v>
      </c>
      <c r="C354" s="13" t="s">
        <v>1237</v>
      </c>
      <c r="E354" s="13" t="s">
        <v>1238</v>
      </c>
      <c r="F354" s="7">
        <v>17.0</v>
      </c>
      <c r="G354" s="7" t="s">
        <v>1040</v>
      </c>
      <c r="H354" s="7">
        <v>0.897</v>
      </c>
      <c r="I354" s="7">
        <v>4.976</v>
      </c>
      <c r="J354" s="117" t="s">
        <v>1202</v>
      </c>
      <c r="K354" s="7" t="s">
        <v>1239</v>
      </c>
    </row>
    <row r="355" ht="15.75" customHeight="1">
      <c r="B355" s="116">
        <v>0.6006944444444444</v>
      </c>
      <c r="C355" s="13" t="s">
        <v>1240</v>
      </c>
      <c r="E355" s="239" t="s">
        <v>1242</v>
      </c>
      <c r="F355" s="7">
        <v>18.0</v>
      </c>
      <c r="G355" s="7" t="s">
        <v>1243</v>
      </c>
      <c r="H355" s="7">
        <v>0.847</v>
      </c>
      <c r="I355" s="7">
        <v>3.433</v>
      </c>
      <c r="J355" s="117" t="s">
        <v>1202</v>
      </c>
      <c r="K355" s="7" t="s">
        <v>1244</v>
      </c>
    </row>
    <row r="356" ht="15.75" customHeight="1">
      <c r="B356" s="116">
        <v>0.6145833333333334</v>
      </c>
      <c r="C356" s="13" t="s">
        <v>1246</v>
      </c>
      <c r="E356" s="13" t="s">
        <v>1247</v>
      </c>
      <c r="F356" s="7">
        <v>19.0</v>
      </c>
      <c r="G356" s="7" t="s">
        <v>1248</v>
      </c>
      <c r="H356" s="7">
        <v>0.508</v>
      </c>
      <c r="I356" s="7">
        <v>2.91</v>
      </c>
      <c r="J356" s="117" t="s">
        <v>1202</v>
      </c>
      <c r="K356" s="7" t="s">
        <v>1250</v>
      </c>
    </row>
    <row r="357" ht="15.75" customHeight="1">
      <c r="B357" s="116">
        <v>0.6319444444444444</v>
      </c>
      <c r="C357" s="13" t="s">
        <v>1251</v>
      </c>
      <c r="E357" s="239" t="s">
        <v>1252</v>
      </c>
      <c r="F357" s="7">
        <v>20.0</v>
      </c>
      <c r="G357" s="7" t="s">
        <v>1254</v>
      </c>
      <c r="H357" s="7">
        <v>0.508</v>
      </c>
      <c r="I357" s="7">
        <v>2.91</v>
      </c>
      <c r="J357" s="117" t="s">
        <v>1202</v>
      </c>
      <c r="K357" s="7" t="s">
        <v>1255</v>
      </c>
    </row>
    <row r="358" ht="15.75" customHeight="1">
      <c r="B358" s="116">
        <v>0.6458333333333334</v>
      </c>
      <c r="C358" s="13" t="s">
        <v>1259</v>
      </c>
      <c r="E358" s="7" t="s">
        <v>1260</v>
      </c>
      <c r="F358" s="7">
        <v>21.0</v>
      </c>
      <c r="G358" s="7"/>
      <c r="H358" s="7"/>
      <c r="I358" s="7"/>
      <c r="J358" s="52"/>
    </row>
    <row r="359" ht="15.75" customHeight="1">
      <c r="B359" s="116">
        <v>0.6527777777777778</v>
      </c>
      <c r="C359" s="13" t="s">
        <v>1265</v>
      </c>
      <c r="E359" s="13" t="s">
        <v>1267</v>
      </c>
      <c r="F359" s="7">
        <v>22.0</v>
      </c>
      <c r="G359" s="7" t="s">
        <v>1268</v>
      </c>
      <c r="H359" s="7">
        <v>0.508</v>
      </c>
      <c r="I359" s="7">
        <v>2.91</v>
      </c>
      <c r="J359" s="52"/>
      <c r="K359" s="7" t="s">
        <v>1269</v>
      </c>
    </row>
    <row r="360" ht="15.75" customHeight="1">
      <c r="B360" s="116">
        <v>0.6618055555555555</v>
      </c>
      <c r="C360" s="13" t="s">
        <v>1270</v>
      </c>
      <c r="E360" s="13" t="s">
        <v>1271</v>
      </c>
      <c r="F360" s="7">
        <v>23.0</v>
      </c>
      <c r="G360" s="7" t="s">
        <v>1066</v>
      </c>
      <c r="H360" s="7">
        <v>0.847</v>
      </c>
      <c r="I360" s="7">
        <v>3.433</v>
      </c>
      <c r="K360" s="7" t="s">
        <v>1272</v>
      </c>
    </row>
    <row r="361" ht="15.75" customHeight="1">
      <c r="B361" s="116">
        <v>0.6770833333333334</v>
      </c>
      <c r="C361" s="13" t="s">
        <v>1273</v>
      </c>
      <c r="E361" s="13" t="s">
        <v>1274</v>
      </c>
      <c r="F361" s="7">
        <v>24.0</v>
      </c>
      <c r="G361" s="7" t="s">
        <v>1275</v>
      </c>
      <c r="H361" s="7">
        <v>0.847</v>
      </c>
      <c r="I361" s="7">
        <v>3.433</v>
      </c>
      <c r="J361" s="52"/>
      <c r="K361" s="7" t="s">
        <v>1277</v>
      </c>
    </row>
    <row r="362" ht="15.75" customHeight="1">
      <c r="B362" s="116">
        <v>0.6944444444444444</v>
      </c>
      <c r="C362" s="13" t="s">
        <v>1278</v>
      </c>
      <c r="E362" s="13" t="s">
        <v>1281</v>
      </c>
      <c r="J362" s="52"/>
    </row>
    <row r="363" ht="15.75" customHeight="1">
      <c r="J363" s="52"/>
    </row>
    <row r="364" ht="15.75" customHeight="1">
      <c r="B364" s="116">
        <v>0.6840277777777778</v>
      </c>
      <c r="C364" s="13" t="s">
        <v>1283</v>
      </c>
      <c r="E364" s="13" t="s">
        <v>1284</v>
      </c>
      <c r="F364" s="7">
        <v>25.0</v>
      </c>
      <c r="G364" s="7" t="s">
        <v>1285</v>
      </c>
      <c r="H364" s="7">
        <v>0.847</v>
      </c>
      <c r="I364" s="7">
        <v>3.433</v>
      </c>
      <c r="J364" s="52"/>
      <c r="K364" s="7" t="s">
        <v>1287</v>
      </c>
    </row>
    <row r="365" ht="15.75" customHeight="1">
      <c r="J365" s="52"/>
      <c r="K365" s="7"/>
    </row>
    <row r="366" ht="15.75" customHeight="1">
      <c r="E366" s="212" t="s">
        <v>1289</v>
      </c>
      <c r="J366" s="52"/>
    </row>
    <row r="367" ht="15.75" customHeight="1">
      <c r="B367" s="116">
        <v>0.7083333333333334</v>
      </c>
      <c r="C367" s="13" t="s">
        <v>1291</v>
      </c>
      <c r="E367" s="239" t="s">
        <v>1293</v>
      </c>
      <c r="F367" s="7">
        <v>26.0</v>
      </c>
      <c r="G367" s="7" t="s">
        <v>1295</v>
      </c>
      <c r="H367" s="7">
        <v>0.508</v>
      </c>
      <c r="I367" s="7">
        <v>2.91</v>
      </c>
      <c r="J367" s="52"/>
      <c r="K367" s="7" t="s">
        <v>1296</v>
      </c>
    </row>
    <row r="368" ht="15.75" customHeight="1">
      <c r="B368" s="116">
        <v>0.7152777777777778</v>
      </c>
      <c r="C368" s="13" t="s">
        <v>1298</v>
      </c>
      <c r="E368" s="13" t="s">
        <v>1299</v>
      </c>
      <c r="F368" s="7">
        <v>27.0</v>
      </c>
      <c r="J368" s="52"/>
    </row>
    <row r="369" ht="15.75" customHeight="1">
      <c r="J369" s="117" t="s">
        <v>1202</v>
      </c>
      <c r="K369" s="7" t="s">
        <v>1300</v>
      </c>
    </row>
    <row r="370" ht="15.75" customHeight="1">
      <c r="C370" s="13" t="s">
        <v>1301</v>
      </c>
      <c r="J370" s="117" t="s">
        <v>1302</v>
      </c>
      <c r="K370" s="7" t="s">
        <v>1300</v>
      </c>
    </row>
    <row r="371" ht="15.75" customHeight="1">
      <c r="J371" s="52"/>
    </row>
    <row r="372" ht="15.75" customHeight="1">
      <c r="J372" s="52"/>
    </row>
    <row r="373" ht="15.75" customHeight="1">
      <c r="A373" s="223">
        <v>46247.0</v>
      </c>
      <c r="J373" s="52"/>
    </row>
    <row r="374" ht="15.75" customHeight="1">
      <c r="B374" s="116">
        <v>0.375</v>
      </c>
      <c r="C374" s="7" t="s">
        <v>1303</v>
      </c>
      <c r="E374" s="13" t="s">
        <v>1304</v>
      </c>
      <c r="F374" s="7">
        <v>1.0</v>
      </c>
      <c r="G374" s="7" t="s">
        <v>1110</v>
      </c>
      <c r="H374" s="7">
        <v>0.847</v>
      </c>
      <c r="I374" s="7">
        <v>3.433</v>
      </c>
      <c r="J374" s="52"/>
      <c r="K374" s="7" t="s">
        <v>1305</v>
      </c>
    </row>
    <row r="375" ht="15.75" customHeight="1">
      <c r="C375" s="7" t="s">
        <v>1306</v>
      </c>
      <c r="E375" s="7" t="s">
        <v>1307</v>
      </c>
      <c r="J375" s="52"/>
      <c r="K375" s="117" t="s">
        <v>1308</v>
      </c>
    </row>
    <row r="376" ht="15.75" customHeight="1">
      <c r="C376" s="7" t="s">
        <v>1306</v>
      </c>
      <c r="E376" s="239" t="s">
        <v>1309</v>
      </c>
      <c r="F376" s="7">
        <v>2.0</v>
      </c>
      <c r="G376" s="7" t="s">
        <v>1115</v>
      </c>
      <c r="H376" s="7">
        <v>0.847</v>
      </c>
      <c r="I376" s="7">
        <v>3.433</v>
      </c>
      <c r="J376" s="52"/>
      <c r="K376" s="7" t="s">
        <v>1310</v>
      </c>
    </row>
    <row r="377" ht="15.75" customHeight="1">
      <c r="C377" s="7" t="s">
        <v>1311</v>
      </c>
      <c r="E377" s="237" t="s">
        <v>1312</v>
      </c>
      <c r="F377" s="7">
        <v>3.0</v>
      </c>
      <c r="G377" s="7" t="s">
        <v>1120</v>
      </c>
      <c r="H377" s="7">
        <v>0.847</v>
      </c>
      <c r="I377" s="7">
        <v>3.433</v>
      </c>
      <c r="J377" s="52"/>
    </row>
    <row r="378" ht="15.75" customHeight="1">
      <c r="C378" s="7" t="s">
        <v>1313</v>
      </c>
      <c r="E378" s="7" t="s">
        <v>1314</v>
      </c>
      <c r="J378" s="52"/>
    </row>
    <row r="379" ht="15.75" customHeight="1">
      <c r="C379" s="7" t="s">
        <v>1315</v>
      </c>
      <c r="E379" s="237" t="s">
        <v>1316</v>
      </c>
      <c r="F379" s="7">
        <v>5.0</v>
      </c>
      <c r="G379" s="7" t="s">
        <v>1124</v>
      </c>
      <c r="H379" s="7">
        <v>0.847</v>
      </c>
      <c r="I379" s="7">
        <v>3.433</v>
      </c>
      <c r="J379" s="52"/>
    </row>
    <row r="380" ht="15.75" customHeight="1">
      <c r="B380" s="116">
        <v>0.48125</v>
      </c>
      <c r="C380" s="7" t="s">
        <v>1318</v>
      </c>
      <c r="E380" s="237" t="s">
        <v>1319</v>
      </c>
      <c r="F380" s="7">
        <v>7.0</v>
      </c>
      <c r="G380" s="7" t="s">
        <v>1134</v>
      </c>
      <c r="H380" s="7">
        <v>0.508</v>
      </c>
      <c r="I380" s="7">
        <v>2.91</v>
      </c>
      <c r="J380" s="52"/>
      <c r="K380" s="7" t="s">
        <v>1321</v>
      </c>
    </row>
    <row r="381" ht="15.75" customHeight="1">
      <c r="J381" s="52"/>
    </row>
    <row r="382" ht="15.75" customHeight="1">
      <c r="J382" s="52"/>
    </row>
    <row r="383" ht="15.75" customHeight="1">
      <c r="B383" s="116">
        <v>0.4965277777777778</v>
      </c>
      <c r="C383" s="7" t="s">
        <v>1322</v>
      </c>
      <c r="E383" s="7" t="s">
        <v>1323</v>
      </c>
      <c r="F383" s="7">
        <v>8.0</v>
      </c>
      <c r="G383" s="7" t="s">
        <v>1140</v>
      </c>
      <c r="H383" s="7">
        <v>1.35</v>
      </c>
      <c r="I383" s="7">
        <v>3.172</v>
      </c>
      <c r="J383" s="52"/>
      <c r="K383" s="7" t="s">
        <v>1325</v>
      </c>
    </row>
    <row r="384" ht="15.75" customHeight="1">
      <c r="J384" s="52"/>
    </row>
    <row r="385" ht="15.75" customHeight="1">
      <c r="B385" s="116">
        <v>0.5</v>
      </c>
      <c r="C385" s="7" t="s">
        <v>1328</v>
      </c>
      <c r="E385" s="7" t="s">
        <v>1329</v>
      </c>
      <c r="J385" s="52"/>
      <c r="K385" s="7" t="s">
        <v>1331</v>
      </c>
    </row>
    <row r="386" ht="15.75" customHeight="1">
      <c r="B386" s="116">
        <v>0.5347222222222222</v>
      </c>
      <c r="C386" s="7" t="s">
        <v>1333</v>
      </c>
      <c r="E386" s="7" t="s">
        <v>1334</v>
      </c>
      <c r="J386" s="52"/>
    </row>
    <row r="387" ht="15.75" customHeight="1">
      <c r="J387" s="52"/>
      <c r="K387" s="297" t="s">
        <v>1336</v>
      </c>
    </row>
    <row r="388" ht="15.75" customHeight="1">
      <c r="B388" s="116">
        <v>0.5520833333333334</v>
      </c>
      <c r="C388" s="7" t="s">
        <v>1337</v>
      </c>
      <c r="E388" s="7" t="s">
        <v>1338</v>
      </c>
      <c r="F388" s="7">
        <v>11.0</v>
      </c>
      <c r="G388" s="7" t="s">
        <v>1194</v>
      </c>
      <c r="H388" s="7">
        <v>0.508</v>
      </c>
      <c r="I388" s="7">
        <v>2.91</v>
      </c>
      <c r="J388" s="52"/>
      <c r="K388" s="7" t="s">
        <v>1339</v>
      </c>
    </row>
    <row r="389" ht="15.75" customHeight="1">
      <c r="C389" s="7" t="s">
        <v>1337</v>
      </c>
      <c r="E389" s="7" t="s">
        <v>1340</v>
      </c>
      <c r="J389" s="52"/>
      <c r="K389" s="7" t="s">
        <v>1341</v>
      </c>
    </row>
    <row r="390" ht="15.75" customHeight="1">
      <c r="C390" s="7" t="s">
        <v>1342</v>
      </c>
      <c r="E390" s="7" t="s">
        <v>1343</v>
      </c>
      <c r="J390" s="52"/>
    </row>
    <row r="391" ht="15.75" customHeight="1">
      <c r="B391" s="116">
        <v>0.5888888888888889</v>
      </c>
      <c r="C391" s="7" t="s">
        <v>1342</v>
      </c>
      <c r="E391" s="237" t="s">
        <v>1345</v>
      </c>
      <c r="F391" s="7">
        <v>13.0</v>
      </c>
      <c r="G391" s="7" t="s">
        <v>1200</v>
      </c>
      <c r="H391" s="7">
        <v>0.508</v>
      </c>
      <c r="I391" s="7">
        <v>2.91</v>
      </c>
      <c r="J391" s="52"/>
      <c r="K391" s="7" t="s">
        <v>1350</v>
      </c>
    </row>
    <row r="392" ht="15.75" customHeight="1">
      <c r="B392" s="116">
        <v>0.6041666666666666</v>
      </c>
      <c r="C392" s="7" t="s">
        <v>1351</v>
      </c>
      <c r="E392" s="7" t="s">
        <v>1352</v>
      </c>
      <c r="F392" s="7">
        <v>15.0</v>
      </c>
      <c r="G392" s="7" t="s">
        <v>1353</v>
      </c>
      <c r="H392" s="7">
        <v>0.508</v>
      </c>
      <c r="I392" s="7">
        <v>2.91</v>
      </c>
      <c r="J392" s="52"/>
      <c r="K392" s="7" t="s">
        <v>1354</v>
      </c>
    </row>
    <row r="393" ht="15.75" customHeight="1">
      <c r="B393" s="116"/>
      <c r="C393" s="7"/>
      <c r="E393" s="7"/>
      <c r="F393" s="7"/>
      <c r="G393" s="7"/>
      <c r="H393" s="7"/>
      <c r="I393" s="7"/>
      <c r="J393" s="52"/>
    </row>
    <row r="394" ht="15.75" customHeight="1">
      <c r="B394" s="116">
        <v>0.6159722222222223</v>
      </c>
      <c r="C394" s="7" t="s">
        <v>1356</v>
      </c>
      <c r="E394" s="157" t="s">
        <v>1358</v>
      </c>
      <c r="F394" s="7">
        <v>16.0</v>
      </c>
      <c r="J394" s="52"/>
      <c r="K394" s="7" t="s">
        <v>1359</v>
      </c>
    </row>
    <row r="395" ht="15.75" customHeight="1">
      <c r="C395" s="7" t="s">
        <v>1360</v>
      </c>
      <c r="J395" s="52"/>
    </row>
    <row r="396" ht="15.75" customHeight="1">
      <c r="B396" s="116">
        <v>0.6319444444444444</v>
      </c>
      <c r="C396" s="7" t="s">
        <v>1362</v>
      </c>
      <c r="E396" s="237" t="s">
        <v>1358</v>
      </c>
      <c r="F396" s="7">
        <v>18.0</v>
      </c>
      <c r="G396" s="7" t="s">
        <v>1364</v>
      </c>
      <c r="H396" s="7">
        <v>0.508</v>
      </c>
      <c r="I396" s="7">
        <v>2.91</v>
      </c>
      <c r="J396" s="52"/>
      <c r="K396" s="7" t="s">
        <v>1365</v>
      </c>
    </row>
    <row r="397" ht="15.75" customHeight="1">
      <c r="B397" s="116">
        <v>0.6493055555555556</v>
      </c>
      <c r="C397" s="7" t="s">
        <v>1367</v>
      </c>
      <c r="E397" s="7" t="s">
        <v>1368</v>
      </c>
      <c r="F397" s="7">
        <v>19.0</v>
      </c>
      <c r="G397" s="7" t="s">
        <v>1164</v>
      </c>
      <c r="H397" s="7">
        <v>0.508</v>
      </c>
      <c r="I397" s="7">
        <v>2.91</v>
      </c>
      <c r="J397" s="52"/>
      <c r="K397" s="7" t="s">
        <v>1371</v>
      </c>
    </row>
    <row r="398" ht="15.75" customHeight="1">
      <c r="J398" s="52"/>
    </row>
    <row r="399" ht="15.75" customHeight="1">
      <c r="C399" s="7" t="s">
        <v>1372</v>
      </c>
      <c r="E399" s="7" t="s">
        <v>1373</v>
      </c>
    </row>
    <row r="400" ht="15.75" customHeight="1">
      <c r="B400" s="116">
        <v>0.6527777777777778</v>
      </c>
      <c r="C400" s="7" t="s">
        <v>1374</v>
      </c>
      <c r="E400" s="237" t="s">
        <v>1375</v>
      </c>
      <c r="F400" s="7">
        <v>20.0</v>
      </c>
      <c r="G400" s="7" t="s">
        <v>1376</v>
      </c>
      <c r="H400" s="7">
        <v>0.508</v>
      </c>
      <c r="I400" s="7">
        <v>2.91</v>
      </c>
      <c r="J400" s="52"/>
    </row>
    <row r="401" ht="15.75" customHeight="1">
      <c r="B401" s="116">
        <v>0.6805555555555556</v>
      </c>
      <c r="C401" s="7" t="s">
        <v>1377</v>
      </c>
      <c r="E401" s="237" t="s">
        <v>1378</v>
      </c>
      <c r="F401" s="7">
        <v>21.0</v>
      </c>
      <c r="G401" s="7" t="s">
        <v>1380</v>
      </c>
      <c r="H401" s="7">
        <v>0.847</v>
      </c>
      <c r="I401" s="7">
        <v>3.433</v>
      </c>
      <c r="J401" s="52"/>
      <c r="K401" s="7" t="s">
        <v>1381</v>
      </c>
    </row>
    <row r="402" ht="15.75" customHeight="1">
      <c r="B402" s="116">
        <v>0.6944444444444444</v>
      </c>
      <c r="C402" s="7" t="s">
        <v>1382</v>
      </c>
      <c r="E402" s="237" t="s">
        <v>1383</v>
      </c>
      <c r="F402" s="7">
        <v>22.0</v>
      </c>
      <c r="G402" s="7" t="s">
        <v>1384</v>
      </c>
      <c r="H402" s="7">
        <v>0.847</v>
      </c>
      <c r="I402" s="7">
        <v>3.433</v>
      </c>
      <c r="J402" s="52"/>
      <c r="K402" s="7" t="s">
        <v>1385</v>
      </c>
    </row>
    <row r="403" ht="15.75" customHeight="1">
      <c r="B403" s="116">
        <v>0.7083333333333334</v>
      </c>
      <c r="C403" s="7" t="s">
        <v>1387</v>
      </c>
      <c r="E403" s="7" t="s">
        <v>1389</v>
      </c>
      <c r="F403" s="7">
        <v>23.0</v>
      </c>
      <c r="G403" s="7" t="s">
        <v>1391</v>
      </c>
      <c r="H403" s="7">
        <v>0.847</v>
      </c>
      <c r="I403" s="7">
        <v>3.433</v>
      </c>
      <c r="J403" s="52"/>
      <c r="K403" s="7" t="s">
        <v>1394</v>
      </c>
    </row>
    <row r="404" ht="15.75" customHeight="1">
      <c r="J404" s="52"/>
    </row>
    <row r="405" ht="15.75" customHeight="1">
      <c r="J405" s="52"/>
    </row>
    <row r="406" ht="15.75" customHeight="1">
      <c r="A406" s="202">
        <v>46249.0</v>
      </c>
      <c r="E406" s="212" t="s">
        <v>1396</v>
      </c>
      <c r="J406" s="52"/>
    </row>
    <row r="407" ht="15.75" customHeight="1">
      <c r="B407" s="116">
        <v>0.3923611111111111</v>
      </c>
      <c r="C407" s="7" t="s">
        <v>1397</v>
      </c>
      <c r="E407" s="7" t="s">
        <v>1398</v>
      </c>
      <c r="F407" s="7">
        <v>3.0</v>
      </c>
      <c r="G407" s="7" t="s">
        <v>1399</v>
      </c>
      <c r="H407" s="7">
        <v>0.847</v>
      </c>
      <c r="I407" s="7">
        <v>3.433</v>
      </c>
      <c r="J407" s="52"/>
      <c r="K407" s="7" t="s">
        <v>1400</v>
      </c>
    </row>
    <row r="408" ht="15.75" customHeight="1">
      <c r="B408" s="116">
        <v>0.4027777777777778</v>
      </c>
      <c r="C408" s="7" t="s">
        <v>1401</v>
      </c>
      <c r="E408" s="7" t="s">
        <v>1402</v>
      </c>
      <c r="F408" s="7">
        <v>4.0</v>
      </c>
      <c r="J408" s="52"/>
    </row>
    <row r="409" ht="15.75" customHeight="1">
      <c r="C409" s="7"/>
      <c r="E409" s="7"/>
      <c r="J409" s="52"/>
    </row>
    <row r="410" ht="15.75" customHeight="1">
      <c r="B410" s="116">
        <v>0.4083333333333333</v>
      </c>
      <c r="C410" s="7" t="s">
        <v>1403</v>
      </c>
      <c r="E410" s="237" t="s">
        <v>1404</v>
      </c>
      <c r="F410" s="7">
        <v>5.0</v>
      </c>
      <c r="G410" s="7" t="s">
        <v>1180</v>
      </c>
      <c r="H410" s="7">
        <v>0.508</v>
      </c>
      <c r="I410" s="7">
        <v>2.91</v>
      </c>
      <c r="J410" s="52"/>
      <c r="K410" s="7" t="s">
        <v>1141</v>
      </c>
    </row>
    <row r="411" ht="15.75" customHeight="1">
      <c r="E411" s="7" t="s">
        <v>1405</v>
      </c>
      <c r="F411" s="7"/>
      <c r="G411" s="7"/>
      <c r="H411" s="7"/>
      <c r="I411" s="7"/>
      <c r="J411" s="52"/>
    </row>
    <row r="412" ht="15.75" customHeight="1">
      <c r="F412" s="7"/>
      <c r="G412" s="7"/>
      <c r="H412" s="7"/>
      <c r="I412" s="7"/>
      <c r="J412" s="52"/>
    </row>
    <row r="413" ht="15.75" customHeight="1">
      <c r="C413" s="7" t="s">
        <v>1407</v>
      </c>
      <c r="E413" s="7" t="s">
        <v>1408</v>
      </c>
      <c r="J413" s="52"/>
      <c r="K413" s="7" t="s">
        <v>1411</v>
      </c>
    </row>
    <row r="414" ht="15.75" customHeight="1">
      <c r="C414" s="7" t="s">
        <v>1412</v>
      </c>
      <c r="E414" s="237" t="s">
        <v>1413</v>
      </c>
      <c r="F414" s="7">
        <v>6.0</v>
      </c>
      <c r="G414" s="7" t="s">
        <v>1183</v>
      </c>
      <c r="H414" s="7">
        <v>0.508</v>
      </c>
      <c r="I414" s="7">
        <v>2.91</v>
      </c>
      <c r="J414" s="52"/>
      <c r="K414" s="7" t="s">
        <v>1141</v>
      </c>
    </row>
    <row r="415" ht="15.75" customHeight="1">
      <c r="B415" s="116">
        <v>0.4375</v>
      </c>
      <c r="C415" s="7" t="s">
        <v>1415</v>
      </c>
      <c r="E415" s="237" t="s">
        <v>1416</v>
      </c>
      <c r="F415" s="7">
        <v>8.0</v>
      </c>
      <c r="G415" s="7" t="s">
        <v>1189</v>
      </c>
      <c r="H415" s="7">
        <v>0.508</v>
      </c>
      <c r="I415" s="7">
        <v>2.91</v>
      </c>
      <c r="J415" s="52"/>
      <c r="K415" s="7" t="s">
        <v>1418</v>
      </c>
    </row>
    <row r="416" ht="15.75" customHeight="1">
      <c r="B416" s="116">
        <v>0.4527777777777778</v>
      </c>
      <c r="C416" s="7" t="s">
        <v>1420</v>
      </c>
      <c r="E416" s="7" t="s">
        <v>1421</v>
      </c>
      <c r="F416" s="7">
        <v>9.0</v>
      </c>
      <c r="G416" s="7" t="s">
        <v>1134</v>
      </c>
      <c r="H416" s="7">
        <v>0.508</v>
      </c>
      <c r="I416" s="7">
        <v>2.91</v>
      </c>
      <c r="J416" s="52"/>
      <c r="K416" s="7" t="s">
        <v>1423</v>
      </c>
    </row>
    <row r="417" ht="15.75" customHeight="1">
      <c r="B417" s="116">
        <v>0.4666666666666667</v>
      </c>
      <c r="C417" s="7" t="s">
        <v>1424</v>
      </c>
      <c r="E417" s="7" t="s">
        <v>1425</v>
      </c>
      <c r="F417" s="7">
        <v>11.0</v>
      </c>
      <c r="G417" s="7" t="s">
        <v>1140</v>
      </c>
      <c r="H417" s="7">
        <v>0.508</v>
      </c>
      <c r="I417" s="7">
        <v>2.91</v>
      </c>
      <c r="J417" s="52"/>
      <c r="K417" s="7" t="s">
        <v>1426</v>
      </c>
    </row>
    <row r="418" ht="15.75" customHeight="1">
      <c r="C418" s="7" t="s">
        <v>1427</v>
      </c>
    </row>
    <row r="419" ht="15.75" customHeight="1">
      <c r="B419" s="116">
        <v>0.4791666666666667</v>
      </c>
      <c r="C419" s="7" t="s">
        <v>1428</v>
      </c>
      <c r="E419" s="7" t="s">
        <v>1429</v>
      </c>
      <c r="F419" s="7">
        <v>13.0</v>
      </c>
      <c r="G419" s="7" t="s">
        <v>1194</v>
      </c>
      <c r="H419" s="7">
        <v>0.508</v>
      </c>
      <c r="I419" s="7">
        <v>2.91</v>
      </c>
      <c r="J419" s="52"/>
      <c r="K419" s="7" t="s">
        <v>1430</v>
      </c>
    </row>
    <row r="420" ht="15.75" customHeight="1"/>
    <row r="421" ht="15.75" customHeight="1">
      <c r="B421" s="116">
        <v>0.49722222222222223</v>
      </c>
      <c r="C421" s="7" t="s">
        <v>1431</v>
      </c>
      <c r="E421" s="7" t="s">
        <v>1432</v>
      </c>
      <c r="F421" s="7">
        <v>14.0</v>
      </c>
      <c r="G421" s="7" t="s">
        <v>1433</v>
      </c>
      <c r="H421" s="7">
        <v>0.847</v>
      </c>
      <c r="I421" s="7">
        <v>3.433</v>
      </c>
      <c r="J421" s="52"/>
      <c r="K421" s="7" t="s">
        <v>1434</v>
      </c>
    </row>
    <row r="422" ht="15.75" customHeight="1">
      <c r="A422" s="7" t="s">
        <v>616</v>
      </c>
      <c r="J422" s="52"/>
    </row>
    <row r="423" ht="15.75" customHeight="1">
      <c r="C423" s="7" t="s">
        <v>1435</v>
      </c>
      <c r="E423" s="7" t="s">
        <v>1436</v>
      </c>
      <c r="J423" s="298" t="s">
        <v>1067</v>
      </c>
    </row>
    <row r="424" ht="15.75" customHeight="1">
      <c r="E424" s="7" t="s">
        <v>1437</v>
      </c>
      <c r="F424" s="7" t="s">
        <v>1438</v>
      </c>
      <c r="J424" s="52"/>
    </row>
    <row r="425" ht="15.75" customHeight="1">
      <c r="E425" s="7" t="s">
        <v>1439</v>
      </c>
      <c r="J425" s="52"/>
    </row>
    <row r="426" ht="15.75" customHeight="1">
      <c r="J426" s="52"/>
    </row>
    <row r="427" ht="15.75" customHeight="1">
      <c r="J427" s="52"/>
    </row>
    <row r="428" ht="15.75" customHeight="1">
      <c r="C428" s="7" t="s">
        <v>1441</v>
      </c>
      <c r="E428" s="237" t="s">
        <v>1442</v>
      </c>
      <c r="F428" s="7">
        <v>16.0</v>
      </c>
      <c r="G428" s="7" t="s">
        <v>1353</v>
      </c>
      <c r="H428" s="7">
        <v>0.508</v>
      </c>
      <c r="I428" s="7">
        <v>2.91</v>
      </c>
      <c r="J428" s="52"/>
      <c r="K428" s="7" t="s">
        <v>1444</v>
      </c>
    </row>
    <row r="429" ht="15.75" customHeight="1">
      <c r="B429" s="116">
        <v>0.5833333333333334</v>
      </c>
      <c r="C429" s="7" t="s">
        <v>1445</v>
      </c>
      <c r="E429" s="237" t="s">
        <v>1446</v>
      </c>
      <c r="F429" s="7">
        <v>17.0</v>
      </c>
      <c r="G429" s="7" t="s">
        <v>1447</v>
      </c>
      <c r="H429" s="7">
        <v>0.847</v>
      </c>
      <c r="I429" s="7">
        <v>3.433</v>
      </c>
      <c r="J429" s="52"/>
    </row>
    <row r="430" ht="15.75" customHeight="1">
      <c r="B430" s="116">
        <v>0.5972222222222222</v>
      </c>
      <c r="C430" s="7" t="s">
        <v>1448</v>
      </c>
      <c r="E430" s="7" t="s">
        <v>1449</v>
      </c>
      <c r="F430" s="7">
        <v>18.0</v>
      </c>
      <c r="G430" s="7" t="s">
        <v>1450</v>
      </c>
      <c r="H430" s="7">
        <v>0.847</v>
      </c>
      <c r="I430" s="7">
        <v>3.433</v>
      </c>
      <c r="J430" s="52"/>
      <c r="K430" s="7" t="s">
        <v>1451</v>
      </c>
    </row>
    <row r="431" ht="15.75" customHeight="1">
      <c r="B431" s="116">
        <v>0.6180555555555556</v>
      </c>
      <c r="C431" s="7" t="s">
        <v>1452</v>
      </c>
      <c r="E431" s="237" t="s">
        <v>1453</v>
      </c>
      <c r="F431" s="7">
        <v>19.0</v>
      </c>
      <c r="G431" s="7" t="s">
        <v>1364</v>
      </c>
      <c r="H431" s="7">
        <v>0.508</v>
      </c>
      <c r="I431" s="7">
        <v>2.91</v>
      </c>
      <c r="J431" s="52"/>
      <c r="K431" s="7" t="s">
        <v>1455</v>
      </c>
    </row>
    <row r="432" ht="15.75" customHeight="1">
      <c r="B432" s="116">
        <v>0.6319444444444444</v>
      </c>
      <c r="C432" s="7" t="s">
        <v>1457</v>
      </c>
      <c r="E432" s="237" t="s">
        <v>1459</v>
      </c>
      <c r="F432" s="7">
        <v>20.0</v>
      </c>
      <c r="G432" s="7" t="s">
        <v>1461</v>
      </c>
      <c r="H432" s="7">
        <v>0.508</v>
      </c>
      <c r="I432" s="7">
        <v>2.91</v>
      </c>
      <c r="J432" s="52"/>
      <c r="K432" s="7" t="s">
        <v>1463</v>
      </c>
    </row>
    <row r="433" ht="15.75" customHeight="1">
      <c r="B433" s="116">
        <v>0.6527777777777778</v>
      </c>
      <c r="C433" s="7" t="s">
        <v>1465</v>
      </c>
      <c r="E433" s="237" t="s">
        <v>1466</v>
      </c>
      <c r="F433" s="7">
        <v>21.0</v>
      </c>
      <c r="G433" s="7" t="s">
        <v>1376</v>
      </c>
      <c r="H433" s="7">
        <v>0.508</v>
      </c>
      <c r="I433" s="7">
        <v>2.91</v>
      </c>
      <c r="J433" s="52"/>
    </row>
    <row r="434" ht="15.75" customHeight="1">
      <c r="B434" s="116">
        <v>0.6701388888888888</v>
      </c>
      <c r="C434" s="7" t="s">
        <v>1467</v>
      </c>
      <c r="E434" s="237" t="s">
        <v>1468</v>
      </c>
      <c r="F434" s="7">
        <v>22.0</v>
      </c>
      <c r="G434" s="7" t="s">
        <v>1380</v>
      </c>
      <c r="H434" s="7">
        <v>0.508</v>
      </c>
      <c r="I434" s="7">
        <v>2.91</v>
      </c>
      <c r="J434" s="52"/>
      <c r="K434" s="7" t="s">
        <v>1469</v>
      </c>
    </row>
    <row r="435" ht="15.75" customHeight="1">
      <c r="B435" s="116">
        <v>0.6875</v>
      </c>
      <c r="C435" s="7" t="s">
        <v>1470</v>
      </c>
      <c r="E435" s="237" t="s">
        <v>1471</v>
      </c>
      <c r="F435" s="7">
        <v>23.0</v>
      </c>
      <c r="G435" s="7" t="s">
        <v>1048</v>
      </c>
      <c r="H435" s="7">
        <v>0.508</v>
      </c>
      <c r="I435" s="7">
        <v>2.91</v>
      </c>
      <c r="J435" s="52"/>
    </row>
    <row r="436" ht="15.75" customHeight="1">
      <c r="B436" s="116">
        <v>0.6944444444444444</v>
      </c>
      <c r="C436" s="7" t="s">
        <v>1472</v>
      </c>
      <c r="E436" s="237" t="s">
        <v>1473</v>
      </c>
      <c r="F436" s="7">
        <v>24.0</v>
      </c>
      <c r="G436" s="7" t="s">
        <v>1248</v>
      </c>
      <c r="H436" s="7">
        <v>0.88</v>
      </c>
      <c r="I436" s="7">
        <v>4.2</v>
      </c>
      <c r="J436" s="52"/>
    </row>
    <row r="437" ht="15.75" customHeight="1">
      <c r="B437" s="121">
        <v>0.20833333333333334</v>
      </c>
      <c r="C437" s="7" t="s">
        <v>1474</v>
      </c>
      <c r="E437" s="237" t="s">
        <v>1475</v>
      </c>
      <c r="F437" s="7">
        <v>25.0</v>
      </c>
      <c r="G437" s="7" t="s">
        <v>1476</v>
      </c>
      <c r="H437" s="7">
        <v>0.88</v>
      </c>
      <c r="I437" s="7">
        <v>4.2</v>
      </c>
      <c r="J437" s="52"/>
    </row>
    <row r="438" ht="15.75" customHeight="1">
      <c r="A438" s="7"/>
      <c r="C438" s="7"/>
      <c r="E438" s="7"/>
      <c r="F438" s="7"/>
      <c r="J438" s="52"/>
    </row>
    <row r="439" ht="15.75" customHeight="1">
      <c r="A439" s="7" t="s">
        <v>1477</v>
      </c>
      <c r="C439" s="7" t="s">
        <v>1478</v>
      </c>
      <c r="E439" s="237" t="s">
        <v>1479</v>
      </c>
      <c r="F439" s="7">
        <v>26.0</v>
      </c>
      <c r="J439" s="52"/>
    </row>
    <row r="440" ht="15.75" customHeight="1">
      <c r="C440" s="7" t="s">
        <v>1480</v>
      </c>
      <c r="E440" s="237" t="s">
        <v>1481</v>
      </c>
      <c r="F440" s="7">
        <v>27.0</v>
      </c>
      <c r="J440" s="52"/>
    </row>
    <row r="441" ht="15.75" customHeight="1">
      <c r="A441" s="7"/>
      <c r="C441" s="7" t="s">
        <v>1482</v>
      </c>
      <c r="E441" s="237" t="s">
        <v>1483</v>
      </c>
      <c r="F441" s="7">
        <v>28.0</v>
      </c>
      <c r="J441" s="52"/>
    </row>
    <row r="442" ht="15.75" customHeight="1">
      <c r="A442" s="7"/>
      <c r="C442" s="7" t="s">
        <v>1484</v>
      </c>
      <c r="E442" s="237" t="s">
        <v>1486</v>
      </c>
      <c r="F442" s="7">
        <v>29.0</v>
      </c>
      <c r="J442" s="52"/>
      <c r="K442" s="7" t="s">
        <v>1487</v>
      </c>
    </row>
    <row r="443" ht="15.75" customHeight="1">
      <c r="A443" s="7"/>
      <c r="C443" s="7" t="s">
        <v>1488</v>
      </c>
      <c r="E443" s="237" t="s">
        <v>1489</v>
      </c>
      <c r="F443" s="7">
        <v>30.0</v>
      </c>
      <c r="J443" s="52"/>
    </row>
    <row r="444" ht="15.75" customHeight="1">
      <c r="A444" s="7"/>
      <c r="C444" s="7" t="s">
        <v>1490</v>
      </c>
      <c r="E444" s="237" t="s">
        <v>1491</v>
      </c>
      <c r="F444" s="7">
        <v>31.0</v>
      </c>
      <c r="J444" s="52"/>
    </row>
    <row r="445" ht="15.75" customHeight="1">
      <c r="A445" s="7"/>
      <c r="C445" s="7" t="s">
        <v>1492</v>
      </c>
      <c r="E445" s="237" t="s">
        <v>1493</v>
      </c>
      <c r="F445" s="7">
        <v>32.0</v>
      </c>
      <c r="J445" s="52"/>
    </row>
    <row r="446" ht="15.75" customHeight="1">
      <c r="A446" s="7"/>
      <c r="J446" s="52"/>
    </row>
    <row r="447" ht="15.75" customHeight="1">
      <c r="A447" s="7"/>
      <c r="E447" s="7"/>
      <c r="J447" s="52"/>
    </row>
    <row r="448" ht="15.75" customHeight="1">
      <c r="A448" s="223">
        <v>46252.0</v>
      </c>
      <c r="E448" s="7"/>
      <c r="J448" s="52"/>
    </row>
    <row r="449" ht="15.75" customHeight="1">
      <c r="E449" s="7"/>
      <c r="J449" s="52"/>
    </row>
    <row r="450" ht="15.75" customHeight="1">
      <c r="B450" s="116">
        <v>0.3854166666666667</v>
      </c>
      <c r="C450" s="7" t="s">
        <v>1494</v>
      </c>
      <c r="E450" s="237" t="s">
        <v>1495</v>
      </c>
      <c r="F450" s="7">
        <v>1.0</v>
      </c>
      <c r="G450" s="7" t="s">
        <v>1176</v>
      </c>
      <c r="H450" s="7">
        <v>0.508</v>
      </c>
      <c r="I450" s="7">
        <v>2.91</v>
      </c>
      <c r="J450" s="117" t="s">
        <v>1496</v>
      </c>
      <c r="K450" s="7" t="s">
        <v>1497</v>
      </c>
    </row>
    <row r="451" ht="15.75" customHeight="1">
      <c r="A451" s="7"/>
      <c r="C451" s="7" t="s">
        <v>1498</v>
      </c>
      <c r="E451" s="7" t="s">
        <v>1499</v>
      </c>
      <c r="F451" s="7">
        <v>2.0</v>
      </c>
      <c r="J451" s="52"/>
    </row>
    <row r="452" ht="15.75" customHeight="1">
      <c r="B452" s="116">
        <v>0.4111111111111111</v>
      </c>
      <c r="C452" s="7" t="s">
        <v>1500</v>
      </c>
      <c r="E452" s="237" t="s">
        <v>1501</v>
      </c>
      <c r="F452" s="7">
        <v>3.0</v>
      </c>
      <c r="G452" s="7" t="s">
        <v>1180</v>
      </c>
      <c r="H452" s="7">
        <v>0.508</v>
      </c>
      <c r="I452" s="7">
        <v>2.91</v>
      </c>
      <c r="J452" s="52"/>
      <c r="K452" s="7" t="s">
        <v>1502</v>
      </c>
    </row>
    <row r="453" ht="15.75" customHeight="1">
      <c r="B453" s="116">
        <v>0.4270833333333333</v>
      </c>
      <c r="C453" s="7" t="s">
        <v>1503</v>
      </c>
      <c r="E453" s="237" t="s">
        <v>1504</v>
      </c>
      <c r="F453" s="7">
        <v>4.0</v>
      </c>
      <c r="G453" s="7" t="s">
        <v>1505</v>
      </c>
      <c r="H453" s="7">
        <v>0.847</v>
      </c>
      <c r="I453" s="7">
        <v>3.433</v>
      </c>
      <c r="J453" s="52"/>
    </row>
    <row r="454" ht="15.75" customHeight="1">
      <c r="B454" s="116">
        <v>0.4444444444444444</v>
      </c>
      <c r="C454" s="7" t="s">
        <v>1507</v>
      </c>
      <c r="E454" s="237" t="s">
        <v>1508</v>
      </c>
      <c r="F454" s="7">
        <v>5.0</v>
      </c>
      <c r="G454" s="7" t="s">
        <v>1509</v>
      </c>
      <c r="H454" s="7">
        <v>0.847</v>
      </c>
      <c r="I454" s="7">
        <v>3.433</v>
      </c>
      <c r="J454" s="52"/>
    </row>
    <row r="455" ht="15.75" customHeight="1">
      <c r="B455" s="116">
        <v>0.45416666666666666</v>
      </c>
      <c r="C455" s="7" t="s">
        <v>1511</v>
      </c>
      <c r="E455" s="237" t="s">
        <v>1512</v>
      </c>
      <c r="F455" s="7">
        <v>6.0</v>
      </c>
      <c r="G455" s="7" t="s">
        <v>1513</v>
      </c>
      <c r="H455" s="7">
        <v>0.686</v>
      </c>
      <c r="I455" s="7">
        <v>3.084</v>
      </c>
      <c r="J455" s="52"/>
    </row>
    <row r="456" ht="15.75" customHeight="1">
      <c r="B456" s="116">
        <v>0.4701388888888889</v>
      </c>
      <c r="C456" s="7" t="s">
        <v>1515</v>
      </c>
      <c r="E456" s="237" t="s">
        <v>1516</v>
      </c>
      <c r="F456" s="7">
        <v>7.0</v>
      </c>
      <c r="G456" s="7" t="s">
        <v>1517</v>
      </c>
      <c r="H456" s="7">
        <v>0.897</v>
      </c>
      <c r="I456" s="7">
        <v>4.976</v>
      </c>
      <c r="J456" s="52"/>
    </row>
    <row r="457" ht="15.75" customHeight="1">
      <c r="B457" s="116">
        <v>0.48541666666666666</v>
      </c>
      <c r="C457" s="7" t="s">
        <v>1518</v>
      </c>
      <c r="E457" s="237" t="s">
        <v>1519</v>
      </c>
      <c r="F457" s="7">
        <v>8.0</v>
      </c>
      <c r="G457" s="7" t="s">
        <v>1194</v>
      </c>
      <c r="H457" s="7">
        <v>0.508</v>
      </c>
      <c r="I457" s="7">
        <v>2.91</v>
      </c>
      <c r="J457" s="52"/>
      <c r="K457" s="7" t="s">
        <v>1520</v>
      </c>
    </row>
    <row r="458" ht="15.75" customHeight="1">
      <c r="B458" s="116">
        <v>0.5</v>
      </c>
      <c r="C458" s="7" t="s">
        <v>1521</v>
      </c>
      <c r="E458" s="237" t="s">
        <v>1522</v>
      </c>
      <c r="F458" s="7">
        <v>9.0</v>
      </c>
      <c r="G458" s="7" t="s">
        <v>1433</v>
      </c>
      <c r="H458" s="7">
        <v>0.847</v>
      </c>
      <c r="I458" s="7">
        <v>3.433</v>
      </c>
      <c r="J458" s="52"/>
    </row>
    <row r="459" ht="15.75" customHeight="1">
      <c r="A459" s="7"/>
      <c r="J459" s="52"/>
    </row>
    <row r="460" ht="15.75" customHeight="1">
      <c r="A460" s="7" t="s">
        <v>616</v>
      </c>
      <c r="J460" s="52"/>
    </row>
    <row r="461" ht="15.75" customHeight="1">
      <c r="B461" s="116">
        <v>0.5541666666666667</v>
      </c>
      <c r="C461" s="7" t="s">
        <v>1523</v>
      </c>
      <c r="E461" s="7" t="s">
        <v>1524</v>
      </c>
      <c r="F461" s="7">
        <v>10.0</v>
      </c>
      <c r="G461" s="7" t="s">
        <v>1353</v>
      </c>
      <c r="H461" s="7">
        <v>0.508</v>
      </c>
      <c r="I461" s="7">
        <v>2.91</v>
      </c>
      <c r="J461" s="52"/>
      <c r="K461" s="7" t="s">
        <v>1525</v>
      </c>
    </row>
    <row r="462" ht="15.75" customHeight="1">
      <c r="B462" s="116">
        <v>0.5625</v>
      </c>
      <c r="C462" s="7" t="s">
        <v>1526</v>
      </c>
      <c r="E462" s="7" t="s">
        <v>1527</v>
      </c>
      <c r="F462" s="7">
        <v>11.0</v>
      </c>
      <c r="G462" s="7" t="s">
        <v>1528</v>
      </c>
      <c r="H462" s="7">
        <v>0.508</v>
      </c>
      <c r="I462" s="7">
        <v>2.91</v>
      </c>
      <c r="K462" s="7" t="s">
        <v>1529</v>
      </c>
    </row>
    <row r="463" ht="15.75" customHeight="1">
      <c r="B463" s="116">
        <v>0.5763888888888888</v>
      </c>
      <c r="C463" s="7" t="s">
        <v>1530</v>
      </c>
      <c r="E463" s="237" t="s">
        <v>1531</v>
      </c>
      <c r="F463" s="7">
        <v>12.0</v>
      </c>
      <c r="G463" s="7" t="s">
        <v>1532</v>
      </c>
      <c r="H463" s="7">
        <v>0.508</v>
      </c>
      <c r="I463" s="7">
        <v>2.91</v>
      </c>
      <c r="J463" s="52"/>
    </row>
    <row r="464" ht="15.75" customHeight="1">
      <c r="B464" s="116">
        <v>0.5902777777777778</v>
      </c>
      <c r="C464" s="7" t="s">
        <v>1533</v>
      </c>
      <c r="E464" s="237" t="s">
        <v>1534</v>
      </c>
      <c r="F464" s="7">
        <v>13.0</v>
      </c>
      <c r="G464" s="7" t="s">
        <v>1535</v>
      </c>
      <c r="H464" s="7">
        <v>0.847</v>
      </c>
      <c r="I464" s="7">
        <v>3.433</v>
      </c>
      <c r="J464" s="52"/>
    </row>
    <row r="465" ht="15.75" customHeight="1">
      <c r="A465" s="7"/>
      <c r="B465" s="116">
        <v>0.6048611111111111</v>
      </c>
      <c r="C465" s="7" t="s">
        <v>1536</v>
      </c>
      <c r="E465" s="237" t="s">
        <v>1537</v>
      </c>
      <c r="F465" s="7">
        <v>14.0</v>
      </c>
      <c r="I465" s="7" t="s">
        <v>1538</v>
      </c>
      <c r="J465" s="52"/>
    </row>
    <row r="466" ht="15.75" customHeight="1">
      <c r="B466" s="116">
        <v>0.6131944444444445</v>
      </c>
      <c r="C466" s="7" t="s">
        <v>1539</v>
      </c>
      <c r="E466" s="237" t="s">
        <v>1540</v>
      </c>
      <c r="F466" s="7">
        <v>15.0</v>
      </c>
      <c r="G466" s="7" t="s">
        <v>1164</v>
      </c>
      <c r="H466" s="7">
        <v>0.508</v>
      </c>
      <c r="I466" s="7">
        <v>2.91</v>
      </c>
      <c r="J466" s="52"/>
    </row>
    <row r="467" ht="15.75" customHeight="1">
      <c r="B467" s="116">
        <v>0.6166666666666667</v>
      </c>
      <c r="C467" s="7" t="s">
        <v>1542</v>
      </c>
      <c r="E467" s="237" t="s">
        <v>1543</v>
      </c>
      <c r="F467" s="7">
        <v>16.0</v>
      </c>
      <c r="J467" s="52"/>
    </row>
    <row r="468" ht="15.75" customHeight="1">
      <c r="B468" s="116">
        <v>0.6263888888888889</v>
      </c>
      <c r="C468" s="7" t="s">
        <v>1545</v>
      </c>
      <c r="E468" s="237" t="s">
        <v>1546</v>
      </c>
      <c r="F468" s="7">
        <v>20.0</v>
      </c>
      <c r="G468" s="7" t="s">
        <v>1376</v>
      </c>
      <c r="H468" s="7">
        <v>0.508</v>
      </c>
      <c r="I468" s="7">
        <v>2.91</v>
      </c>
      <c r="J468" s="52"/>
      <c r="K468" s="7" t="s">
        <v>1548</v>
      </c>
    </row>
    <row r="469" ht="15.75" customHeight="1">
      <c r="B469" s="116">
        <v>0.6527777777777778</v>
      </c>
      <c r="C469" s="7" t="s">
        <v>1550</v>
      </c>
      <c r="E469" s="237" t="s">
        <v>1554</v>
      </c>
      <c r="F469" s="7">
        <v>21.0</v>
      </c>
      <c r="G469" s="7" t="s">
        <v>1380</v>
      </c>
      <c r="H469" s="7">
        <v>0.508</v>
      </c>
      <c r="I469" s="7">
        <v>2.91</v>
      </c>
      <c r="J469" s="52"/>
      <c r="K469" s="7" t="s">
        <v>1548</v>
      </c>
    </row>
    <row r="470" ht="15.75" customHeight="1">
      <c r="B470" s="116">
        <v>0.6666666666666666</v>
      </c>
      <c r="C470" s="7" t="s">
        <v>1555</v>
      </c>
      <c r="E470" s="237" t="s">
        <v>1556</v>
      </c>
      <c r="F470" s="7">
        <v>22.0</v>
      </c>
      <c r="G470" s="7" t="s">
        <v>1384</v>
      </c>
      <c r="H470" s="7">
        <v>0.508</v>
      </c>
      <c r="I470" s="7">
        <v>2.91</v>
      </c>
      <c r="J470" s="52"/>
      <c r="K470" s="7" t="s">
        <v>1557</v>
      </c>
    </row>
    <row r="471" ht="15.75" customHeight="1">
      <c r="A471" s="7"/>
      <c r="B471" s="116">
        <v>0.6875</v>
      </c>
      <c r="C471" s="7" t="s">
        <v>1559</v>
      </c>
      <c r="E471" s="237" t="s">
        <v>1560</v>
      </c>
      <c r="F471" s="7">
        <v>23.0</v>
      </c>
      <c r="G471" s="7" t="s">
        <v>1248</v>
      </c>
      <c r="H471" s="7">
        <v>0.508</v>
      </c>
      <c r="I471" s="7">
        <v>2.91</v>
      </c>
      <c r="J471" s="52"/>
    </row>
    <row r="472" ht="15.75" customHeight="1">
      <c r="A472" s="7"/>
      <c r="B472" s="116">
        <v>0.6993055555555555</v>
      </c>
      <c r="C472" s="7" t="s">
        <v>1562</v>
      </c>
      <c r="E472" s="237" t="s">
        <v>1563</v>
      </c>
      <c r="F472" s="7">
        <v>24.0</v>
      </c>
      <c r="G472" s="7" t="s">
        <v>1476</v>
      </c>
      <c r="H472" s="7">
        <v>0.686</v>
      </c>
      <c r="I472" s="7">
        <v>3.084</v>
      </c>
      <c r="J472" s="52"/>
    </row>
    <row r="473" ht="15.75" customHeight="1">
      <c r="J473" s="52"/>
    </row>
    <row r="474" ht="15.75" customHeight="1">
      <c r="B474" s="116">
        <v>0.7083333333333334</v>
      </c>
      <c r="C474" s="7" t="s">
        <v>1568</v>
      </c>
      <c r="E474" s="7" t="s">
        <v>1569</v>
      </c>
      <c r="F474" s="7">
        <v>26.0</v>
      </c>
      <c r="G474" s="7" t="s">
        <v>1268</v>
      </c>
      <c r="H474" s="7">
        <v>0.508</v>
      </c>
      <c r="I474" s="7">
        <v>2.91</v>
      </c>
      <c r="J474" s="52"/>
    </row>
    <row r="475" ht="15.75" customHeight="1">
      <c r="A475" s="7"/>
      <c r="J475" s="52"/>
    </row>
    <row r="476" ht="15.75" customHeight="1">
      <c r="A476" s="7"/>
      <c r="J476" s="52"/>
    </row>
    <row r="477" ht="15.75" customHeight="1">
      <c r="A477" s="7" t="s">
        <v>1477</v>
      </c>
      <c r="J477" s="52"/>
    </row>
    <row r="478" ht="15.75" customHeight="1">
      <c r="B478" s="116">
        <v>0.7430555555555556</v>
      </c>
      <c r="C478" s="7" t="s">
        <v>1571</v>
      </c>
      <c r="E478" s="7" t="s">
        <v>1572</v>
      </c>
      <c r="J478" s="117" t="s">
        <v>1573</v>
      </c>
    </row>
    <row r="479" ht="15.75" customHeight="1">
      <c r="A479" s="7"/>
      <c r="B479" s="116">
        <v>0.7527777777777778</v>
      </c>
      <c r="C479" s="7" t="s">
        <v>1574</v>
      </c>
      <c r="E479" s="7" t="s">
        <v>1575</v>
      </c>
      <c r="J479" s="117" t="s">
        <v>1576</v>
      </c>
    </row>
    <row r="480" ht="15.75" customHeight="1">
      <c r="A480" s="7"/>
      <c r="C480" s="7" t="s">
        <v>1577</v>
      </c>
      <c r="E480" s="7" t="s">
        <v>1578</v>
      </c>
      <c r="J480" s="117" t="s">
        <v>1579</v>
      </c>
    </row>
    <row r="481" ht="15.75" customHeight="1">
      <c r="A481" s="7"/>
      <c r="J481" s="52"/>
    </row>
    <row r="482" ht="15.75" customHeight="1">
      <c r="A482" s="202">
        <v>46253.0</v>
      </c>
      <c r="J482" s="52"/>
    </row>
    <row r="483" ht="15.75" customHeight="1">
      <c r="A483" s="116"/>
      <c r="C483" s="7" t="s">
        <v>1580</v>
      </c>
      <c r="E483" s="237" t="s">
        <v>1581</v>
      </c>
      <c r="F483" s="7" t="s">
        <v>1582</v>
      </c>
      <c r="G483" s="7"/>
      <c r="H483" s="7"/>
      <c r="I483" s="7"/>
      <c r="J483" s="117"/>
    </row>
    <row r="484" ht="15.75" customHeight="1">
      <c r="B484" s="116">
        <v>0.42430555555555555</v>
      </c>
      <c r="C484" s="7" t="s">
        <v>1583</v>
      </c>
      <c r="E484" s="237" t="s">
        <v>1584</v>
      </c>
      <c r="F484" s="7">
        <v>4.0</v>
      </c>
      <c r="G484" s="7" t="s">
        <v>1176</v>
      </c>
      <c r="H484" s="7">
        <v>0.508</v>
      </c>
      <c r="I484" s="7">
        <v>2.91</v>
      </c>
      <c r="J484" s="117" t="s">
        <v>1585</v>
      </c>
    </row>
    <row r="485" ht="15.75" customHeight="1">
      <c r="B485" s="121">
        <v>0.4375</v>
      </c>
      <c r="C485" s="7" t="s">
        <v>1586</v>
      </c>
      <c r="E485" s="7" t="s">
        <v>1587</v>
      </c>
      <c r="F485" s="7">
        <v>5.0</v>
      </c>
      <c r="G485" s="7" t="s">
        <v>1180</v>
      </c>
      <c r="H485" s="7">
        <v>0.508</v>
      </c>
      <c r="I485" s="7">
        <v>2.91</v>
      </c>
      <c r="J485" s="117" t="s">
        <v>1585</v>
      </c>
      <c r="K485" s="7" t="s">
        <v>1589</v>
      </c>
    </row>
    <row r="486" ht="15.75" customHeight="1">
      <c r="B486" s="116">
        <v>0.4479166666666667</v>
      </c>
      <c r="C486" s="7" t="s">
        <v>1590</v>
      </c>
      <c r="E486" s="7" t="s">
        <v>1591</v>
      </c>
      <c r="F486" s="7">
        <v>6.0</v>
      </c>
      <c r="G486" s="7" t="s">
        <v>1505</v>
      </c>
      <c r="H486" s="7">
        <v>0.847</v>
      </c>
      <c r="I486" s="7">
        <v>3.433</v>
      </c>
      <c r="J486" s="52"/>
    </row>
    <row r="487" ht="15.75" customHeight="1">
      <c r="E487" s="212" t="s">
        <v>248</v>
      </c>
      <c r="J487" s="52"/>
    </row>
    <row r="488" ht="15.75" customHeight="1">
      <c r="B488" s="116">
        <v>0.4791666666666667</v>
      </c>
      <c r="C488" s="7" t="s">
        <v>1592</v>
      </c>
      <c r="E488" s="237" t="s">
        <v>1593</v>
      </c>
      <c r="F488" s="7">
        <v>7.0</v>
      </c>
      <c r="G488" s="7" t="s">
        <v>1509</v>
      </c>
      <c r="H488" s="7">
        <v>0.847</v>
      </c>
      <c r="I488" s="7">
        <v>3.433</v>
      </c>
      <c r="J488" s="52"/>
    </row>
    <row r="489" ht="15.75" customHeight="1">
      <c r="B489" s="116">
        <v>0.49027777777777776</v>
      </c>
      <c r="C489" s="7" t="s">
        <v>1594</v>
      </c>
      <c r="E489" s="237" t="s">
        <v>1595</v>
      </c>
      <c r="F489" s="7">
        <v>8.0</v>
      </c>
      <c r="G489" s="7" t="s">
        <v>1513</v>
      </c>
      <c r="H489" s="7">
        <v>0.847</v>
      </c>
      <c r="I489" s="7">
        <v>3.433</v>
      </c>
      <c r="J489" s="52"/>
      <c r="K489" s="7" t="s">
        <v>1596</v>
      </c>
    </row>
    <row r="490" ht="15.75" customHeight="1">
      <c r="J490" s="52"/>
    </row>
    <row r="491" ht="15.75" customHeight="1">
      <c r="A491" s="7" t="s">
        <v>1597</v>
      </c>
      <c r="C491" s="7" t="s">
        <v>1598</v>
      </c>
      <c r="E491" s="237" t="s">
        <v>1599</v>
      </c>
      <c r="J491" s="52"/>
    </row>
    <row r="492" ht="15.75" customHeight="1">
      <c r="J492" s="52"/>
    </row>
    <row r="493" ht="15.75" customHeight="1">
      <c r="A493" s="7"/>
      <c r="J493" s="52"/>
    </row>
    <row r="494" ht="15.75" customHeight="1">
      <c r="A494" s="7"/>
      <c r="E494" s="7"/>
      <c r="G494" s="7"/>
      <c r="H494" s="7"/>
      <c r="I494" s="7"/>
      <c r="J494" s="52"/>
    </row>
    <row r="495" ht="15.75" customHeight="1">
      <c r="C495" s="7" t="s">
        <v>1600</v>
      </c>
      <c r="E495" s="7" t="s">
        <v>1601</v>
      </c>
      <c r="J495" s="117" t="s">
        <v>1602</v>
      </c>
    </row>
    <row r="496" ht="15.75" customHeight="1">
      <c r="A496" s="7"/>
      <c r="C496" s="7" t="s">
        <v>1600</v>
      </c>
      <c r="E496" s="7" t="s">
        <v>1603</v>
      </c>
      <c r="G496" s="7"/>
      <c r="H496" s="7"/>
      <c r="I496" s="7"/>
    </row>
    <row r="497" ht="15.75" customHeight="1">
      <c r="A497" s="7"/>
      <c r="C497" s="7" t="s">
        <v>1604</v>
      </c>
      <c r="E497" s="7" t="s">
        <v>1605</v>
      </c>
      <c r="G497" s="7"/>
      <c r="H497" s="7"/>
      <c r="I497" s="7"/>
    </row>
    <row r="498" ht="15.75" customHeight="1">
      <c r="A498" s="7"/>
      <c r="E498" s="7"/>
      <c r="G498" s="7"/>
      <c r="H498" s="7"/>
      <c r="I498" s="7"/>
    </row>
    <row r="499" ht="15.75" customHeight="1">
      <c r="A499" s="7" t="s">
        <v>616</v>
      </c>
      <c r="E499" s="7"/>
      <c r="G499" s="7"/>
      <c r="H499" s="7"/>
      <c r="I499" s="7"/>
    </row>
    <row r="500" ht="26.25" customHeight="1">
      <c r="B500" s="116">
        <v>0.5486111111111112</v>
      </c>
      <c r="C500" s="7" t="s">
        <v>1606</v>
      </c>
      <c r="E500" s="237" t="s">
        <v>1607</v>
      </c>
      <c r="F500" s="7">
        <v>12.0</v>
      </c>
      <c r="G500" s="7" t="s">
        <v>1517</v>
      </c>
      <c r="H500" s="7">
        <v>0.847</v>
      </c>
      <c r="I500" s="7">
        <v>3.433</v>
      </c>
      <c r="J500" s="117" t="s">
        <v>1608</v>
      </c>
    </row>
    <row r="501" ht="15.75" customHeight="1">
      <c r="A501" s="7"/>
      <c r="B501" s="116">
        <v>0.5694444444444444</v>
      </c>
      <c r="C501" s="7" t="s">
        <v>1609</v>
      </c>
      <c r="E501" s="7" t="s">
        <v>1610</v>
      </c>
      <c r="F501" s="7">
        <v>13.0</v>
      </c>
      <c r="G501" s="7" t="s">
        <v>1611</v>
      </c>
      <c r="H501" s="7">
        <v>0.847</v>
      </c>
      <c r="I501" s="7">
        <v>3.433</v>
      </c>
      <c r="K501" s="7" t="s">
        <v>1612</v>
      </c>
    </row>
    <row r="502" ht="23.25" customHeight="1">
      <c r="A502" s="7"/>
      <c r="C502" s="7" t="s">
        <v>1614</v>
      </c>
      <c r="E502" s="7" t="s">
        <v>1615</v>
      </c>
      <c r="G502" s="7"/>
      <c r="H502" s="7"/>
      <c r="I502" s="7"/>
      <c r="J502" s="117" t="s">
        <v>1608</v>
      </c>
      <c r="K502" s="7" t="s">
        <v>1612</v>
      </c>
    </row>
    <row r="503" ht="18.75" customHeight="1">
      <c r="A503" s="7"/>
      <c r="B503" s="116">
        <v>0.5833333333333334</v>
      </c>
      <c r="C503" s="7" t="s">
        <v>1617</v>
      </c>
      <c r="E503" s="7" t="s">
        <v>1618</v>
      </c>
      <c r="F503" s="7">
        <v>17.0</v>
      </c>
      <c r="G503" s="7" t="s">
        <v>1433</v>
      </c>
      <c r="H503" s="7">
        <v>0.847</v>
      </c>
      <c r="I503" s="7">
        <v>3.433</v>
      </c>
      <c r="J503" s="117" t="s">
        <v>1608</v>
      </c>
      <c r="K503" s="7" t="s">
        <v>1612</v>
      </c>
    </row>
    <row r="504" ht="15.75" customHeight="1">
      <c r="A504" s="7"/>
      <c r="E504" s="7"/>
      <c r="G504" s="7"/>
      <c r="H504" s="7"/>
      <c r="I504" s="7"/>
    </row>
    <row r="505" ht="15.75" customHeight="1">
      <c r="A505" s="7"/>
      <c r="E505" s="7"/>
      <c r="G505" s="7"/>
      <c r="H505" s="7"/>
      <c r="I505" s="7"/>
    </row>
    <row r="506" ht="15.75" customHeight="1">
      <c r="B506" s="116">
        <v>0.5972222222222222</v>
      </c>
      <c r="C506" s="7" t="s">
        <v>1619</v>
      </c>
      <c r="E506" s="7" t="s">
        <v>1620</v>
      </c>
      <c r="I506" s="7"/>
    </row>
    <row r="507" ht="15.75" customHeight="1">
      <c r="A507" s="7"/>
      <c r="E507" s="7" t="s">
        <v>1621</v>
      </c>
      <c r="G507" s="7"/>
      <c r="H507" s="7"/>
      <c r="I507" s="7"/>
    </row>
    <row r="508" ht="15.75" customHeight="1">
      <c r="E508" s="7"/>
      <c r="F508" s="7"/>
      <c r="G508" s="7"/>
      <c r="H508" s="7"/>
      <c r="I508" s="7"/>
    </row>
    <row r="509" ht="15.75" customHeight="1">
      <c r="E509" s="297" t="s">
        <v>1622</v>
      </c>
      <c r="F509" s="7"/>
      <c r="G509" s="7"/>
      <c r="H509" s="7"/>
      <c r="I509" s="7"/>
    </row>
    <row r="510" ht="15.75" customHeight="1">
      <c r="E510" s="7"/>
      <c r="F510" s="7"/>
      <c r="G510" s="7"/>
      <c r="H510" s="7"/>
      <c r="I510" s="7"/>
    </row>
    <row r="511" ht="15.75" customHeight="1">
      <c r="B511" s="116">
        <v>0.6666666666666666</v>
      </c>
      <c r="C511" s="7" t="s">
        <v>1623</v>
      </c>
      <c r="E511" s="237" t="s">
        <v>1624</v>
      </c>
      <c r="F511" s="7">
        <v>1.0</v>
      </c>
      <c r="G511" s="7" t="s">
        <v>1353</v>
      </c>
      <c r="H511" s="7">
        <v>0.5</v>
      </c>
      <c r="I511" s="7">
        <v>7.746</v>
      </c>
      <c r="K511" s="7" t="s">
        <v>1625</v>
      </c>
    </row>
    <row r="512" ht="15.75" customHeight="1">
      <c r="B512" s="116">
        <v>0.6819444444444445</v>
      </c>
      <c r="C512" s="7" t="s">
        <v>1626</v>
      </c>
      <c r="E512" s="237" t="s">
        <v>1627</v>
      </c>
      <c r="F512" s="7">
        <v>2.0</v>
      </c>
      <c r="G512" s="7" t="s">
        <v>1528</v>
      </c>
      <c r="H512" s="7">
        <v>0.5</v>
      </c>
      <c r="I512" s="7">
        <v>7.746</v>
      </c>
      <c r="K512" s="7" t="s">
        <v>1628</v>
      </c>
    </row>
    <row r="513" ht="15.75" customHeight="1">
      <c r="C513" s="7" t="s">
        <v>1629</v>
      </c>
      <c r="E513" s="7" t="s">
        <v>1630</v>
      </c>
      <c r="F513" s="7">
        <v>3.0</v>
      </c>
      <c r="G513" s="7" t="s">
        <v>1532</v>
      </c>
      <c r="H513" s="7">
        <v>0.5</v>
      </c>
      <c r="I513" s="7">
        <v>7.746</v>
      </c>
      <c r="J513" s="7" t="s">
        <v>1631</v>
      </c>
      <c r="K513" s="7" t="s">
        <v>1632</v>
      </c>
    </row>
    <row r="514" ht="15.75" customHeight="1">
      <c r="B514" s="116">
        <v>0.6972222222222222</v>
      </c>
      <c r="C514" s="7" t="s">
        <v>1633</v>
      </c>
      <c r="E514" s="237" t="s">
        <v>1634</v>
      </c>
      <c r="F514" s="7">
        <v>4.0</v>
      </c>
      <c r="G514" s="7" t="s">
        <v>1364</v>
      </c>
      <c r="H514" s="7">
        <v>0.5</v>
      </c>
      <c r="I514" s="7">
        <v>7.746</v>
      </c>
      <c r="J514" s="7" t="s">
        <v>1635</v>
      </c>
      <c r="K514" s="7" t="s">
        <v>225</v>
      </c>
    </row>
    <row r="515" ht="15.75" customHeight="1">
      <c r="B515" s="116">
        <v>0.7013888888888888</v>
      </c>
      <c r="C515" s="7" t="s">
        <v>1636</v>
      </c>
      <c r="E515" s="237" t="s">
        <v>1637</v>
      </c>
      <c r="F515" s="7">
        <v>5.0</v>
      </c>
      <c r="G515" s="7" t="s">
        <v>1164</v>
      </c>
      <c r="H515" s="7">
        <v>0.5</v>
      </c>
      <c r="I515" s="7">
        <v>7.746</v>
      </c>
      <c r="K515" s="7" t="s">
        <v>1632</v>
      </c>
    </row>
    <row r="516" ht="15.75" customHeight="1">
      <c r="B516" s="116">
        <v>0.7048611111111112</v>
      </c>
      <c r="C516" s="7" t="s">
        <v>1638</v>
      </c>
      <c r="E516" s="237" t="s">
        <v>1639</v>
      </c>
      <c r="F516" s="7">
        <v>6.0</v>
      </c>
      <c r="G516" s="7" t="s">
        <v>1376</v>
      </c>
      <c r="H516" s="7">
        <v>0.5</v>
      </c>
      <c r="I516" s="7">
        <v>7.746</v>
      </c>
    </row>
    <row r="517" ht="15.75" customHeight="1">
      <c r="A517" s="7"/>
      <c r="B517" s="116">
        <v>0.7152777777777778</v>
      </c>
      <c r="C517" s="7" t="s">
        <v>1640</v>
      </c>
      <c r="E517" s="237" t="s">
        <v>1641</v>
      </c>
      <c r="F517" s="7">
        <v>7.0</v>
      </c>
      <c r="G517" s="7" t="s">
        <v>1044</v>
      </c>
      <c r="H517" s="7">
        <v>0.5</v>
      </c>
      <c r="I517" s="7">
        <v>7.746</v>
      </c>
      <c r="K517" s="7" t="s">
        <v>1642</v>
      </c>
    </row>
    <row r="518" ht="15.75" customHeight="1">
      <c r="A518" s="7"/>
      <c r="E518" s="7"/>
      <c r="G518" s="7"/>
      <c r="H518" s="7"/>
      <c r="I518" s="7"/>
    </row>
    <row r="519" ht="15.75" customHeight="1">
      <c r="B519" s="121">
        <v>0.21944444444444444</v>
      </c>
      <c r="C519" s="7" t="s">
        <v>1643</v>
      </c>
      <c r="E519" s="7" t="s">
        <v>1644</v>
      </c>
      <c r="F519" s="7">
        <v>19.0</v>
      </c>
      <c r="G519" s="7" t="s">
        <v>1048</v>
      </c>
      <c r="H519" s="7">
        <v>0.508</v>
      </c>
      <c r="I519" s="7">
        <v>2.91</v>
      </c>
      <c r="K519" s="7" t="s">
        <v>1654</v>
      </c>
    </row>
    <row r="520" ht="15.75" customHeight="1">
      <c r="A520" s="7"/>
      <c r="E520" s="7"/>
      <c r="G520" s="7"/>
      <c r="H520" s="7"/>
      <c r="I520" s="7"/>
    </row>
    <row r="521" ht="15.75" customHeight="1">
      <c r="A521" s="202">
        <v>46253.0</v>
      </c>
      <c r="E521" s="353" t="s">
        <v>1655</v>
      </c>
      <c r="G521" s="7"/>
      <c r="H521" s="7"/>
      <c r="I521" s="7"/>
    </row>
    <row r="522" ht="15.75" customHeight="1">
      <c r="B522" s="116">
        <v>0.39791666666666664</v>
      </c>
      <c r="C522" s="7" t="s">
        <v>1656</v>
      </c>
      <c r="E522" s="7" t="s">
        <v>1657</v>
      </c>
      <c r="F522" s="7">
        <v>1.0</v>
      </c>
      <c r="G522" s="7">
        <v>1.0</v>
      </c>
      <c r="H522" s="354">
        <v>1.0</v>
      </c>
      <c r="I522" s="7"/>
      <c r="J522" s="7" t="s">
        <v>1658</v>
      </c>
      <c r="K522" s="7" t="s">
        <v>1659</v>
      </c>
    </row>
    <row r="523" ht="15.75" customHeight="1">
      <c r="A523" s="7"/>
      <c r="B523" s="116">
        <v>0.40625</v>
      </c>
      <c r="C523" s="7" t="s">
        <v>1660</v>
      </c>
      <c r="E523" s="7" t="s">
        <v>1661</v>
      </c>
      <c r="F523" s="7">
        <v>2.0</v>
      </c>
      <c r="G523" s="7">
        <v>2.0</v>
      </c>
      <c r="H523" s="354">
        <v>1.0</v>
      </c>
      <c r="I523" s="7"/>
      <c r="J523" s="7" t="s">
        <v>1662</v>
      </c>
      <c r="K523" s="7" t="s">
        <v>1663</v>
      </c>
    </row>
    <row r="524" ht="15.75" customHeight="1">
      <c r="A524" s="7"/>
      <c r="B524" s="116">
        <v>0.4166666666666667</v>
      </c>
      <c r="C524" s="7" t="s">
        <v>1664</v>
      </c>
      <c r="E524" s="237" t="s">
        <v>1665</v>
      </c>
      <c r="F524" s="7">
        <v>3.0</v>
      </c>
      <c r="G524" s="7">
        <v>3.0</v>
      </c>
      <c r="H524" s="354">
        <v>1.0</v>
      </c>
      <c r="J524" s="7" t="s">
        <v>1666</v>
      </c>
      <c r="K524" s="7" t="s">
        <v>1667</v>
      </c>
    </row>
    <row r="525" ht="15.75" customHeight="1">
      <c r="B525" s="116">
        <v>0.42430555555555555</v>
      </c>
      <c r="C525" s="7" t="s">
        <v>1668</v>
      </c>
      <c r="E525" s="7" t="s">
        <v>1669</v>
      </c>
      <c r="F525" s="7">
        <v>4.0</v>
      </c>
      <c r="G525" s="7">
        <v>4.0</v>
      </c>
      <c r="H525" s="354">
        <v>1.0</v>
      </c>
      <c r="I525" s="7"/>
      <c r="J525" s="7" t="s">
        <v>1670</v>
      </c>
      <c r="K525" s="7"/>
    </row>
    <row r="526" ht="15.75" customHeight="1">
      <c r="A526" s="116"/>
      <c r="B526" s="116">
        <v>0.43194444444444446</v>
      </c>
      <c r="C526" s="7" t="s">
        <v>1671</v>
      </c>
      <c r="E526" s="7" t="s">
        <v>1672</v>
      </c>
      <c r="F526" s="7">
        <v>5.0</v>
      </c>
      <c r="G526" s="7">
        <v>5.0</v>
      </c>
      <c r="H526" s="354">
        <v>1.0</v>
      </c>
      <c r="I526" s="7"/>
      <c r="J526" s="7" t="s">
        <v>1673</v>
      </c>
      <c r="K526" s="7"/>
    </row>
    <row r="527" ht="15.75" customHeight="1">
      <c r="A527" s="116"/>
      <c r="B527" s="116">
        <v>0.4375</v>
      </c>
      <c r="C527" s="7" t="s">
        <v>1674</v>
      </c>
      <c r="E527" s="7" t="s">
        <v>1675</v>
      </c>
      <c r="F527" s="7">
        <v>6.0</v>
      </c>
      <c r="G527" s="7">
        <v>6.0</v>
      </c>
      <c r="H527" s="354">
        <v>1.0</v>
      </c>
      <c r="I527" s="7"/>
      <c r="J527" s="7" t="s">
        <v>1676</v>
      </c>
      <c r="K527" s="7"/>
    </row>
    <row r="528" ht="15.75" customHeight="1">
      <c r="B528" s="116">
        <v>0.4479166666666667</v>
      </c>
      <c r="C528" s="7" t="s">
        <v>1677</v>
      </c>
      <c r="E528" s="237" t="s">
        <v>1678</v>
      </c>
      <c r="F528" s="7">
        <v>7.0</v>
      </c>
      <c r="G528" s="7">
        <v>7.0</v>
      </c>
      <c r="H528" s="354">
        <v>1.0</v>
      </c>
      <c r="I528" s="7"/>
      <c r="J528" s="7" t="s">
        <v>1679</v>
      </c>
      <c r="K528" s="7"/>
    </row>
    <row r="529" ht="15.75" customHeight="1">
      <c r="A529" s="7"/>
      <c r="B529" s="116">
        <v>0.4513888888888889</v>
      </c>
      <c r="C529" s="7" t="s">
        <v>1677</v>
      </c>
      <c r="E529" s="237" t="s">
        <v>1680</v>
      </c>
      <c r="F529" s="7">
        <v>7.0</v>
      </c>
      <c r="G529" s="7">
        <v>8.0</v>
      </c>
      <c r="H529" s="354">
        <v>1.0</v>
      </c>
      <c r="I529" s="7"/>
      <c r="J529" s="7" t="s">
        <v>1679</v>
      </c>
      <c r="K529" s="7"/>
    </row>
    <row r="530" ht="15.75" customHeight="1">
      <c r="B530" s="116">
        <v>0.46319444444444446</v>
      </c>
      <c r="C530" s="7" t="s">
        <v>1681</v>
      </c>
      <c r="E530" s="237" t="s">
        <v>1682</v>
      </c>
      <c r="F530" s="7">
        <v>9.0</v>
      </c>
      <c r="G530" s="7">
        <v>9.0</v>
      </c>
      <c r="H530" s="354">
        <v>1.0</v>
      </c>
      <c r="I530" s="7"/>
      <c r="J530" s="7" t="s">
        <v>1683</v>
      </c>
      <c r="K530" s="7" t="s">
        <v>1684</v>
      </c>
    </row>
    <row r="531" ht="15.75" customHeight="1">
      <c r="B531" s="116">
        <v>0.4701388888888889</v>
      </c>
      <c r="C531" s="7" t="s">
        <v>1685</v>
      </c>
      <c r="E531" s="237" t="s">
        <v>1686</v>
      </c>
      <c r="F531" s="7">
        <v>10.0</v>
      </c>
      <c r="G531" s="7">
        <v>10.0</v>
      </c>
      <c r="H531" s="354">
        <v>1.0</v>
      </c>
      <c r="I531" s="7"/>
      <c r="K531" s="7"/>
    </row>
    <row r="532" ht="15.75" customHeight="1">
      <c r="A532" s="7"/>
      <c r="B532" s="116">
        <v>0.4791666666666667</v>
      </c>
      <c r="C532" s="7" t="s">
        <v>1687</v>
      </c>
      <c r="E532" s="7" t="s">
        <v>1688</v>
      </c>
      <c r="F532" s="7">
        <v>11.0</v>
      </c>
      <c r="G532" s="7">
        <v>11.0</v>
      </c>
      <c r="H532" s="354">
        <v>1.0</v>
      </c>
      <c r="J532" s="7" t="s">
        <v>1689</v>
      </c>
    </row>
    <row r="533" ht="15.75" customHeight="1"/>
    <row r="534" ht="15.75" customHeight="1">
      <c r="B534" s="116">
        <v>0.4875</v>
      </c>
      <c r="C534" s="7" t="s">
        <v>1690</v>
      </c>
      <c r="E534" s="7" t="s">
        <v>1691</v>
      </c>
      <c r="F534" s="7">
        <v>12.0</v>
      </c>
      <c r="G534" s="7">
        <v>12.0</v>
      </c>
      <c r="H534" s="354">
        <v>1.0</v>
      </c>
      <c r="J534" s="7" t="s">
        <v>1692</v>
      </c>
    </row>
    <row r="535" ht="15.75" customHeight="1">
      <c r="A535" s="7"/>
      <c r="B535" s="116"/>
      <c r="C535" s="7" t="s">
        <v>1693</v>
      </c>
      <c r="E535" s="7" t="s">
        <v>1694</v>
      </c>
      <c r="F535" s="7">
        <v>13.0</v>
      </c>
      <c r="G535" s="7">
        <v>13.0</v>
      </c>
      <c r="H535" s="354">
        <v>1.0</v>
      </c>
      <c r="J535" s="7" t="s">
        <v>1695</v>
      </c>
    </row>
    <row r="536" ht="15.75" customHeight="1">
      <c r="A536" s="7"/>
      <c r="B536" s="116">
        <v>0.49027777777777776</v>
      </c>
      <c r="C536" s="7" t="s">
        <v>1696</v>
      </c>
      <c r="E536" s="7" t="s">
        <v>1697</v>
      </c>
      <c r="F536" s="7">
        <v>14.0</v>
      </c>
      <c r="G536" s="7">
        <v>14.0</v>
      </c>
      <c r="H536" s="354">
        <v>1.0</v>
      </c>
    </row>
    <row r="537" ht="15.75" customHeight="1">
      <c r="A537" s="7"/>
      <c r="B537" s="116"/>
      <c r="C537" s="7"/>
    </row>
    <row r="538" ht="15.75" customHeight="1">
      <c r="A538" s="7"/>
      <c r="B538" s="116">
        <v>0.49236111111111114</v>
      </c>
      <c r="C538" s="7" t="s">
        <v>1698</v>
      </c>
      <c r="E538" s="7" t="s">
        <v>1699</v>
      </c>
      <c r="F538" s="7">
        <v>15.0</v>
      </c>
      <c r="G538" s="7">
        <v>15.0</v>
      </c>
      <c r="H538" s="354">
        <v>1.0</v>
      </c>
      <c r="J538" s="7" t="s">
        <v>1700</v>
      </c>
    </row>
    <row r="539" ht="15.75" customHeight="1">
      <c r="B539" s="116">
        <v>0.5</v>
      </c>
      <c r="C539" s="7" t="s">
        <v>1701</v>
      </c>
      <c r="E539" s="237" t="s">
        <v>1702</v>
      </c>
      <c r="F539" s="7">
        <v>16.0</v>
      </c>
      <c r="G539" s="7">
        <v>16.0</v>
      </c>
      <c r="H539" s="354">
        <v>1.0</v>
      </c>
      <c r="I539" s="7"/>
      <c r="J539" s="7" t="s">
        <v>1700</v>
      </c>
      <c r="K539" s="7" t="s">
        <v>1703</v>
      </c>
    </row>
    <row r="540" ht="15.75" customHeight="1">
      <c r="A540" s="7"/>
      <c r="B540" s="116"/>
      <c r="F540" s="7"/>
      <c r="G540" s="7"/>
      <c r="H540" s="354"/>
      <c r="I540" s="7"/>
      <c r="K540" s="7"/>
    </row>
    <row r="541" ht="15.75" customHeight="1">
      <c r="A541" s="7"/>
      <c r="B541" s="116"/>
      <c r="F541" s="7"/>
      <c r="G541" s="7"/>
      <c r="H541" s="354"/>
      <c r="I541" s="7"/>
      <c r="K541" s="7"/>
    </row>
    <row r="542" ht="15.75" customHeight="1">
      <c r="A542" s="7" t="s">
        <v>616</v>
      </c>
      <c r="B542" s="116"/>
      <c r="C542" s="7"/>
      <c r="E542" s="7"/>
      <c r="F542" s="7"/>
      <c r="G542" s="7"/>
      <c r="H542" s="354"/>
      <c r="I542" s="7"/>
      <c r="K542" s="7"/>
    </row>
    <row r="543" ht="15.75" customHeight="1">
      <c r="A543" s="7"/>
      <c r="B543" s="116">
        <v>0.5416666666666666</v>
      </c>
      <c r="C543" s="7" t="s">
        <v>1704</v>
      </c>
      <c r="E543" s="7" t="s">
        <v>1705</v>
      </c>
      <c r="F543" s="7">
        <v>1.0</v>
      </c>
      <c r="H543" s="354">
        <v>1.0</v>
      </c>
      <c r="I543" s="7" t="s">
        <v>786</v>
      </c>
      <c r="J543" s="7" t="s">
        <v>1706</v>
      </c>
      <c r="K543" s="7" t="s">
        <v>1707</v>
      </c>
    </row>
    <row r="544" ht="15.75" customHeight="1">
      <c r="A544" s="7"/>
      <c r="B544" s="116"/>
      <c r="C544" s="7" t="s">
        <v>1708</v>
      </c>
      <c r="E544" s="7" t="s">
        <v>1709</v>
      </c>
      <c r="F544" s="7">
        <v>2.0</v>
      </c>
      <c r="G544" s="7"/>
      <c r="H544" s="354"/>
      <c r="I544" s="7"/>
      <c r="J544" s="7" t="s">
        <v>1710</v>
      </c>
      <c r="K544" s="7" t="s">
        <v>1707</v>
      </c>
    </row>
    <row r="545" ht="15.75" customHeight="1">
      <c r="A545" s="7"/>
      <c r="B545" s="116">
        <v>0.5520833333333334</v>
      </c>
      <c r="C545" s="7" t="s">
        <v>1711</v>
      </c>
      <c r="E545" s="237" t="s">
        <v>1712</v>
      </c>
      <c r="F545" s="7">
        <v>3.0</v>
      </c>
      <c r="G545" s="7">
        <v>17.0</v>
      </c>
      <c r="H545" s="354">
        <v>1.0</v>
      </c>
      <c r="I545" s="7" t="s">
        <v>786</v>
      </c>
      <c r="J545" s="7" t="s">
        <v>1714</v>
      </c>
      <c r="K545" s="7" t="s">
        <v>1715</v>
      </c>
    </row>
    <row r="546" ht="15.75" customHeight="1">
      <c r="A546" s="7"/>
      <c r="B546" s="116">
        <v>0.5569444444444445</v>
      </c>
      <c r="C546" s="7" t="s">
        <v>1716</v>
      </c>
      <c r="E546" s="237" t="s">
        <v>1718</v>
      </c>
      <c r="F546" s="7">
        <v>4.0</v>
      </c>
      <c r="G546" s="7">
        <v>18.0</v>
      </c>
      <c r="H546" s="354">
        <v>1.0</v>
      </c>
      <c r="I546" s="7" t="s">
        <v>786</v>
      </c>
      <c r="J546" s="7" t="s">
        <v>1719</v>
      </c>
      <c r="K546" s="7"/>
    </row>
    <row r="547" ht="15.75" customHeight="1">
      <c r="A547" s="7"/>
      <c r="B547" s="116">
        <v>0.5625</v>
      </c>
      <c r="C547" s="7" t="s">
        <v>1720</v>
      </c>
      <c r="E547" s="237" t="s">
        <v>1721</v>
      </c>
      <c r="F547" s="7">
        <v>5.0</v>
      </c>
      <c r="G547" s="7">
        <v>19.0</v>
      </c>
      <c r="H547" s="354">
        <v>1.2</v>
      </c>
      <c r="I547" s="7" t="s">
        <v>786</v>
      </c>
      <c r="J547" s="7" t="s">
        <v>1719</v>
      </c>
      <c r="K547" s="7"/>
    </row>
    <row r="548" ht="15.75" customHeight="1">
      <c r="B548" s="121">
        <v>0.06666666666666667</v>
      </c>
      <c r="C548" s="7" t="s">
        <v>1723</v>
      </c>
      <c r="E548" s="237" t="s">
        <v>1724</v>
      </c>
      <c r="F548" s="7">
        <v>6.0</v>
      </c>
      <c r="G548" s="7">
        <v>20.0</v>
      </c>
      <c r="H548" s="354">
        <v>1.2</v>
      </c>
      <c r="I548" s="7" t="s">
        <v>786</v>
      </c>
      <c r="J548" s="7" t="s">
        <v>1719</v>
      </c>
      <c r="K548" s="7" t="s">
        <v>1726</v>
      </c>
    </row>
    <row r="549" ht="15.75" customHeight="1">
      <c r="B549" s="116">
        <v>0.5729166666666666</v>
      </c>
      <c r="C549" s="7" t="s">
        <v>1727</v>
      </c>
      <c r="E549" s="237" t="s">
        <v>1728</v>
      </c>
      <c r="F549" s="7">
        <v>8.0</v>
      </c>
      <c r="G549" s="7">
        <v>21.0</v>
      </c>
      <c r="H549" s="354">
        <v>0.8</v>
      </c>
      <c r="I549" s="7" t="s">
        <v>786</v>
      </c>
      <c r="J549" s="7" t="s">
        <v>225</v>
      </c>
      <c r="K549" s="7"/>
    </row>
    <row r="550" ht="15.75" customHeight="1">
      <c r="A550" s="7"/>
      <c r="B550" s="116">
        <v>0.5805555555555556</v>
      </c>
      <c r="C550" s="7" t="s">
        <v>1730</v>
      </c>
      <c r="E550" s="237" t="s">
        <v>1732</v>
      </c>
      <c r="F550" s="7">
        <v>9.0</v>
      </c>
      <c r="G550" s="7">
        <v>22.0</v>
      </c>
      <c r="H550" s="7">
        <v>1.0</v>
      </c>
      <c r="I550" s="7" t="s">
        <v>786</v>
      </c>
      <c r="J550" s="7" t="s">
        <v>1726</v>
      </c>
      <c r="K550" s="7"/>
    </row>
    <row r="551" ht="15.75" customHeight="1">
      <c r="B551" s="116">
        <v>0.5861111111111111</v>
      </c>
      <c r="C551" s="7" t="s">
        <v>1733</v>
      </c>
      <c r="E551" s="7" t="s">
        <v>1734</v>
      </c>
      <c r="F551" s="7">
        <v>17.0</v>
      </c>
      <c r="G551" s="7">
        <v>23.0</v>
      </c>
      <c r="H551" s="7">
        <v>1.0</v>
      </c>
      <c r="I551" s="7" t="s">
        <v>786</v>
      </c>
      <c r="J551" s="7" t="s">
        <v>1735</v>
      </c>
      <c r="K551" s="7" t="s">
        <v>1141</v>
      </c>
    </row>
    <row r="552" ht="15.75" customHeight="1">
      <c r="A552" s="7"/>
      <c r="B552" s="116">
        <v>0.5916666666666667</v>
      </c>
      <c r="C552" s="7" t="s">
        <v>1736</v>
      </c>
      <c r="E552" s="7" t="s">
        <v>1737</v>
      </c>
      <c r="F552" s="7">
        <v>18.0</v>
      </c>
      <c r="G552" s="7">
        <v>24.0</v>
      </c>
      <c r="H552" s="7">
        <v>1.0</v>
      </c>
      <c r="I552" s="7" t="s">
        <v>786</v>
      </c>
      <c r="J552" s="7" t="s">
        <v>225</v>
      </c>
      <c r="K552" s="7" t="s">
        <v>1141</v>
      </c>
    </row>
    <row r="553" ht="15.75" customHeight="1">
      <c r="B553" s="116"/>
      <c r="C553" s="7"/>
      <c r="E553" s="7"/>
      <c r="F553" s="7"/>
      <c r="G553" s="7"/>
      <c r="H553" s="7"/>
      <c r="I553" s="7"/>
      <c r="J553" s="7"/>
      <c r="K553" s="7"/>
    </row>
    <row r="554" ht="15.75" customHeight="1">
      <c r="B554" s="116"/>
      <c r="C554" s="7"/>
      <c r="E554" s="7"/>
      <c r="F554" s="7"/>
      <c r="G554" s="7"/>
      <c r="H554" s="7"/>
      <c r="I554" s="7"/>
      <c r="J554" s="7"/>
      <c r="K554" s="7"/>
    </row>
    <row r="555" ht="15.75" customHeight="1">
      <c r="B555" s="116"/>
      <c r="C555" s="7"/>
      <c r="E555" s="7"/>
      <c r="F555" s="7"/>
      <c r="G555" s="7"/>
      <c r="H555" s="7"/>
      <c r="I555" s="7"/>
      <c r="J555" s="7"/>
      <c r="K555" s="7"/>
    </row>
    <row r="556" ht="15.75" customHeight="1">
      <c r="B556" s="116"/>
      <c r="C556" s="7"/>
      <c r="E556" s="353" t="s">
        <v>1740</v>
      </c>
      <c r="F556" s="7"/>
      <c r="G556" s="7"/>
      <c r="H556" s="7"/>
      <c r="I556" s="7"/>
      <c r="J556" s="7"/>
      <c r="K556" s="7"/>
    </row>
    <row r="557" ht="15.75" customHeight="1">
      <c r="B557" s="116"/>
      <c r="C557" s="7"/>
      <c r="D557" s="7" t="s">
        <v>1741</v>
      </c>
      <c r="E557" s="7"/>
      <c r="F557" s="7"/>
      <c r="G557" s="7"/>
      <c r="H557" s="7"/>
      <c r="I557" s="7"/>
      <c r="J557" s="7"/>
      <c r="K557" s="7"/>
    </row>
    <row r="558" ht="15.75" customHeight="1">
      <c r="B558" s="116">
        <v>0.5951388888888889</v>
      </c>
      <c r="C558" s="7" t="s">
        <v>1742</v>
      </c>
      <c r="E558" s="237" t="s">
        <v>1743</v>
      </c>
      <c r="F558" s="7">
        <v>19.0</v>
      </c>
      <c r="G558" s="7">
        <v>25.0</v>
      </c>
      <c r="H558" s="7">
        <v>1.0</v>
      </c>
      <c r="I558" s="7" t="s">
        <v>786</v>
      </c>
      <c r="J558" s="7" t="s">
        <v>1744</v>
      </c>
      <c r="K558" s="7" t="s">
        <v>1745</v>
      </c>
    </row>
    <row r="559" ht="15.75" customHeight="1">
      <c r="B559" s="116">
        <v>0.5986111111111111</v>
      </c>
      <c r="C559" s="7" t="s">
        <v>1746</v>
      </c>
      <c r="E559" s="7" t="s">
        <v>1747</v>
      </c>
      <c r="F559" s="7">
        <v>20.0</v>
      </c>
      <c r="G559" s="7">
        <v>26.0</v>
      </c>
      <c r="H559" s="7">
        <v>1.0</v>
      </c>
      <c r="I559" s="7" t="s">
        <v>786</v>
      </c>
      <c r="J559" s="7" t="s">
        <v>1748</v>
      </c>
      <c r="K559" s="355" t="s">
        <v>1612</v>
      </c>
    </row>
    <row r="560" ht="15.75" customHeight="1">
      <c r="A560" s="7"/>
      <c r="B560" s="116">
        <v>0.6006944444444444</v>
      </c>
      <c r="C560" s="7" t="s">
        <v>1749</v>
      </c>
      <c r="E560" s="7" t="s">
        <v>1750</v>
      </c>
      <c r="F560" s="7">
        <v>21.0</v>
      </c>
      <c r="G560" s="7">
        <v>27.0</v>
      </c>
      <c r="H560" s="7">
        <v>1.0</v>
      </c>
      <c r="I560" s="7" t="s">
        <v>786</v>
      </c>
      <c r="J560" s="7" t="s">
        <v>1751</v>
      </c>
      <c r="K560" s="7"/>
    </row>
    <row r="561" ht="15.75" customHeight="1">
      <c r="B561" s="116">
        <v>0.6027777777777777</v>
      </c>
      <c r="C561" s="7" t="s">
        <v>1752</v>
      </c>
      <c r="E561" s="7" t="s">
        <v>1753</v>
      </c>
      <c r="F561" s="7">
        <v>22.0</v>
      </c>
      <c r="G561" s="7">
        <v>28.0</v>
      </c>
      <c r="H561" s="7">
        <v>1.0</v>
      </c>
      <c r="I561" s="7" t="s">
        <v>786</v>
      </c>
      <c r="J561" s="7" t="s">
        <v>1754</v>
      </c>
      <c r="K561" s="7"/>
    </row>
    <row r="562" ht="15.75" customHeight="1">
      <c r="B562" s="116">
        <v>0.6111111111111112</v>
      </c>
      <c r="C562" s="7" t="s">
        <v>1755</v>
      </c>
      <c r="E562" s="7" t="s">
        <v>1756</v>
      </c>
      <c r="F562" s="7">
        <v>23.0</v>
      </c>
      <c r="G562" s="7">
        <v>29.0</v>
      </c>
      <c r="H562" s="7">
        <v>1.0</v>
      </c>
      <c r="I562" s="7" t="s">
        <v>786</v>
      </c>
      <c r="J562" s="7" t="s">
        <v>1754</v>
      </c>
      <c r="K562" s="7"/>
    </row>
    <row r="563" ht="15.75" customHeight="1">
      <c r="A563" s="7"/>
      <c r="B563" s="116">
        <v>0.6166666666666667</v>
      </c>
      <c r="C563" s="7" t="s">
        <v>1757</v>
      </c>
      <c r="E563" s="7" t="s">
        <v>1758</v>
      </c>
      <c r="F563" s="7">
        <v>24.0</v>
      </c>
      <c r="G563" s="7">
        <v>30.0</v>
      </c>
      <c r="H563" s="7">
        <v>1.0</v>
      </c>
      <c r="I563" s="7" t="s">
        <v>786</v>
      </c>
      <c r="J563" s="7" t="s">
        <v>1754</v>
      </c>
      <c r="K563" s="7" t="s">
        <v>1759</v>
      </c>
    </row>
    <row r="564" ht="15.75" customHeight="1">
      <c r="A564" s="7"/>
      <c r="B564" s="116">
        <v>0.6201388888888889</v>
      </c>
      <c r="C564" s="7" t="s">
        <v>1760</v>
      </c>
      <c r="E564" s="7" t="s">
        <v>1761</v>
      </c>
      <c r="F564" s="7">
        <v>25.0</v>
      </c>
      <c r="G564" s="7">
        <v>31.0</v>
      </c>
      <c r="H564" s="7">
        <v>1.0</v>
      </c>
      <c r="I564" s="7" t="s">
        <v>786</v>
      </c>
      <c r="K564" s="355" t="s">
        <v>1762</v>
      </c>
    </row>
    <row r="565" ht="15.75" customHeight="1">
      <c r="A565" s="7"/>
      <c r="B565" s="116">
        <v>0.6263888888888889</v>
      </c>
      <c r="C565" s="7" t="s">
        <v>1763</v>
      </c>
      <c r="E565" s="7" t="s">
        <v>1764</v>
      </c>
      <c r="F565" s="7">
        <v>26.0</v>
      </c>
      <c r="G565" s="7">
        <v>32.0</v>
      </c>
      <c r="H565" s="7">
        <v>1.0</v>
      </c>
      <c r="I565" s="7" t="s">
        <v>786</v>
      </c>
      <c r="J565" s="7" t="s">
        <v>1765</v>
      </c>
      <c r="K565" s="7"/>
    </row>
    <row r="566" ht="15.75" customHeight="1">
      <c r="B566" s="116">
        <v>0.6319444444444444</v>
      </c>
      <c r="C566" s="7" t="s">
        <v>1766</v>
      </c>
      <c r="E566" s="7" t="s">
        <v>1767</v>
      </c>
      <c r="F566" s="7">
        <v>27.0</v>
      </c>
      <c r="G566" s="7">
        <v>33.0</v>
      </c>
      <c r="H566" s="7">
        <v>1.0</v>
      </c>
      <c r="I566" s="7" t="s">
        <v>786</v>
      </c>
      <c r="J566" s="7" t="s">
        <v>1768</v>
      </c>
    </row>
    <row r="567" ht="15.75" customHeight="1">
      <c r="A567" s="7"/>
      <c r="B567" s="116">
        <v>0.6354166666666666</v>
      </c>
      <c r="C567" s="7" t="s">
        <v>1769</v>
      </c>
      <c r="E567" s="7" t="s">
        <v>1770</v>
      </c>
      <c r="F567" s="7">
        <v>28.0</v>
      </c>
      <c r="G567" s="7">
        <v>34.0</v>
      </c>
      <c r="H567" s="7">
        <v>1.0</v>
      </c>
      <c r="I567" s="7" t="s">
        <v>786</v>
      </c>
      <c r="J567" s="7" t="s">
        <v>1771</v>
      </c>
      <c r="K567" s="7"/>
    </row>
    <row r="568" ht="15.75" customHeight="1">
      <c r="B568" s="356">
        <v>0.6444444444444445</v>
      </c>
      <c r="C568" s="7" t="s">
        <v>1772</v>
      </c>
      <c r="E568" s="7" t="s">
        <v>1773</v>
      </c>
      <c r="F568" s="7">
        <v>30.0</v>
      </c>
      <c r="G568" s="7">
        <v>35.0</v>
      </c>
      <c r="H568" s="7">
        <v>1.0</v>
      </c>
      <c r="I568" s="7" t="s">
        <v>786</v>
      </c>
      <c r="J568" s="355" t="s">
        <v>1774</v>
      </c>
      <c r="K568" s="7" t="s">
        <v>1775</v>
      </c>
    </row>
    <row r="569" ht="15.75" customHeight="1">
      <c r="A569" s="7"/>
      <c r="B569" s="116">
        <v>0.6493055555555556</v>
      </c>
      <c r="C569" s="7" t="s">
        <v>1776</v>
      </c>
      <c r="E569" s="7" t="s">
        <v>1777</v>
      </c>
      <c r="F569" s="7">
        <v>31.0</v>
      </c>
      <c r="G569" s="7">
        <v>36.0</v>
      </c>
      <c r="H569" s="7">
        <v>1.0</v>
      </c>
      <c r="I569" s="7" t="s">
        <v>786</v>
      </c>
      <c r="J569" s="7" t="s">
        <v>1778</v>
      </c>
      <c r="K569" s="7"/>
    </row>
    <row r="570" ht="15.75" customHeight="1">
      <c r="A570" s="7"/>
      <c r="B570" s="116">
        <v>0.6541666666666667</v>
      </c>
      <c r="C570" s="7" t="s">
        <v>1779</v>
      </c>
      <c r="E570" s="7" t="s">
        <v>1780</v>
      </c>
      <c r="F570" s="7">
        <v>32.0</v>
      </c>
      <c r="G570" s="7">
        <v>37.0</v>
      </c>
      <c r="H570" s="7">
        <v>1.0</v>
      </c>
      <c r="I570" s="7" t="s">
        <v>786</v>
      </c>
      <c r="J570" s="7" t="s">
        <v>1781</v>
      </c>
      <c r="K570" s="7"/>
    </row>
    <row r="571" ht="15.75" customHeight="1">
      <c r="B571" s="116">
        <v>0.6583333333333333</v>
      </c>
      <c r="C571" s="7" t="s">
        <v>1782</v>
      </c>
      <c r="E571" s="7" t="s">
        <v>1783</v>
      </c>
      <c r="F571" s="7">
        <v>33.0</v>
      </c>
      <c r="G571" s="7">
        <v>38.0</v>
      </c>
      <c r="H571" s="7">
        <v>1.0</v>
      </c>
      <c r="I571" s="7" t="s">
        <v>786</v>
      </c>
      <c r="J571" s="355" t="s">
        <v>1784</v>
      </c>
      <c r="K571" s="7"/>
    </row>
    <row r="572" ht="15.75" customHeight="1">
      <c r="A572" s="7"/>
      <c r="B572" s="116">
        <v>0.6666666666666666</v>
      </c>
      <c r="C572" s="7" t="s">
        <v>1785</v>
      </c>
      <c r="E572" s="7" t="s">
        <v>1786</v>
      </c>
      <c r="F572" s="7">
        <v>34.0</v>
      </c>
      <c r="G572" s="7">
        <v>39.0</v>
      </c>
      <c r="H572" s="7">
        <v>1.0</v>
      </c>
      <c r="I572" s="7" t="s">
        <v>786</v>
      </c>
      <c r="J572" s="357" t="s">
        <v>1787</v>
      </c>
      <c r="K572" s="7" t="s">
        <v>1788</v>
      </c>
    </row>
    <row r="573" ht="15.75" customHeight="1">
      <c r="B573" s="116">
        <v>0.6722222222222223</v>
      </c>
      <c r="C573" s="7" t="s">
        <v>1789</v>
      </c>
      <c r="E573" s="7" t="s">
        <v>1790</v>
      </c>
      <c r="F573" s="7">
        <v>35.0</v>
      </c>
      <c r="G573" s="7">
        <v>40.0</v>
      </c>
      <c r="H573" s="7">
        <v>1.0</v>
      </c>
      <c r="I573" s="7" t="s">
        <v>786</v>
      </c>
      <c r="J573" s="355" t="s">
        <v>1784</v>
      </c>
    </row>
    <row r="574" ht="15.75" customHeight="1">
      <c r="A574" s="7"/>
      <c r="B574" s="116">
        <v>0.675</v>
      </c>
      <c r="C574" s="7" t="s">
        <v>1791</v>
      </c>
      <c r="E574" s="7" t="s">
        <v>1792</v>
      </c>
      <c r="F574" s="7">
        <v>36.0</v>
      </c>
      <c r="G574" s="7">
        <v>41.0</v>
      </c>
      <c r="H574" s="7">
        <v>1.0</v>
      </c>
      <c r="I574" s="7" t="s">
        <v>786</v>
      </c>
      <c r="J574" s="355" t="s">
        <v>1793</v>
      </c>
    </row>
    <row r="575" ht="15.75" customHeight="1">
      <c r="A575" s="7"/>
      <c r="B575" s="116">
        <v>0.6819444444444445</v>
      </c>
      <c r="C575" s="7" t="s">
        <v>1794</v>
      </c>
      <c r="E575" s="7" t="s">
        <v>1795</v>
      </c>
      <c r="F575" s="7">
        <v>37.0</v>
      </c>
      <c r="G575" s="7">
        <v>42.0</v>
      </c>
      <c r="H575" s="7">
        <v>1.0</v>
      </c>
      <c r="I575" s="7" t="s">
        <v>786</v>
      </c>
      <c r="J575" s="7" t="s">
        <v>1796</v>
      </c>
      <c r="K575" s="7"/>
    </row>
    <row r="576" ht="15.75" customHeight="1">
      <c r="B576" s="116">
        <v>0.6840277777777778</v>
      </c>
      <c r="C576" s="7" t="s">
        <v>1797</v>
      </c>
      <c r="E576" s="7" t="s">
        <v>1798</v>
      </c>
      <c r="F576" s="7">
        <v>38.0</v>
      </c>
      <c r="G576" s="7">
        <v>43.0</v>
      </c>
      <c r="H576" s="7">
        <v>1.0</v>
      </c>
      <c r="I576" s="7" t="s">
        <v>786</v>
      </c>
      <c r="J576" s="7" t="s">
        <v>1799</v>
      </c>
    </row>
    <row r="577" ht="15.75" customHeight="1">
      <c r="A577" s="7"/>
      <c r="B577" s="116">
        <v>0.6875</v>
      </c>
      <c r="C577" s="7" t="s">
        <v>1800</v>
      </c>
      <c r="E577" s="7" t="s">
        <v>1801</v>
      </c>
      <c r="F577" s="7">
        <v>39.0</v>
      </c>
      <c r="G577" s="7">
        <v>44.0</v>
      </c>
      <c r="H577" s="7">
        <v>1.0</v>
      </c>
      <c r="I577" s="7" t="s">
        <v>786</v>
      </c>
      <c r="J577" s="7" t="s">
        <v>1802</v>
      </c>
      <c r="K577" s="7"/>
    </row>
    <row r="578" ht="15.75" customHeight="1">
      <c r="A578" s="7"/>
      <c r="B578" s="116">
        <v>0.6930555555555555</v>
      </c>
      <c r="C578" s="7" t="s">
        <v>1803</v>
      </c>
      <c r="E578" s="7" t="s">
        <v>1804</v>
      </c>
      <c r="F578" s="7">
        <v>40.0</v>
      </c>
      <c r="G578" s="7">
        <v>45.0</v>
      </c>
      <c r="H578" s="7">
        <v>1.0</v>
      </c>
      <c r="I578" s="7" t="s">
        <v>786</v>
      </c>
      <c r="J578" s="7" t="s">
        <v>1805</v>
      </c>
      <c r="K578" s="7"/>
    </row>
    <row r="579" ht="15.75" customHeight="1">
      <c r="B579" s="116">
        <v>0.6930555555555555</v>
      </c>
      <c r="C579" s="7" t="s">
        <v>1806</v>
      </c>
      <c r="E579" s="7" t="s">
        <v>1807</v>
      </c>
      <c r="F579" s="7">
        <v>41.0</v>
      </c>
      <c r="G579" s="7">
        <v>46.0</v>
      </c>
      <c r="H579" s="7">
        <v>1.0</v>
      </c>
      <c r="I579" s="7" t="s">
        <v>786</v>
      </c>
      <c r="J579" s="7" t="s">
        <v>1808</v>
      </c>
    </row>
    <row r="580" ht="15.75" customHeight="1">
      <c r="A580" s="7"/>
      <c r="B580" s="116">
        <v>0.7</v>
      </c>
      <c r="C580" s="7" t="s">
        <v>1809</v>
      </c>
      <c r="E580" s="7" t="s">
        <v>1810</v>
      </c>
      <c r="F580" s="7">
        <v>42.0</v>
      </c>
      <c r="G580" s="7">
        <v>47.0</v>
      </c>
      <c r="H580" s="7">
        <v>1.0</v>
      </c>
      <c r="I580" s="7" t="s">
        <v>786</v>
      </c>
      <c r="J580" s="7" t="s">
        <v>225</v>
      </c>
    </row>
    <row r="581" ht="15.75" customHeight="1">
      <c r="A581" s="7"/>
      <c r="B581" s="116">
        <v>0.7083333333333334</v>
      </c>
      <c r="C581" s="7" t="s">
        <v>1811</v>
      </c>
      <c r="E581" s="7" t="s">
        <v>1702</v>
      </c>
      <c r="F581" s="7">
        <v>43.0</v>
      </c>
      <c r="G581" s="7">
        <v>48.0</v>
      </c>
      <c r="H581" s="7">
        <v>1.0</v>
      </c>
      <c r="I581" s="7" t="s">
        <v>786</v>
      </c>
      <c r="J581" s="7" t="s">
        <v>225</v>
      </c>
    </row>
    <row r="582" ht="15.75" customHeight="1"/>
    <row r="583" ht="15.75" customHeight="1">
      <c r="A583" s="7" t="s">
        <v>1477</v>
      </c>
    </row>
    <row r="584" ht="15.75" customHeight="1">
      <c r="E584" s="7" t="s">
        <v>1812</v>
      </c>
      <c r="F584" s="7" t="s">
        <v>1813</v>
      </c>
    </row>
    <row r="585" ht="15.75" customHeight="1">
      <c r="A585" s="223"/>
      <c r="B585" s="116">
        <v>0.7083333333333334</v>
      </c>
      <c r="C585" s="7" t="s">
        <v>1814</v>
      </c>
      <c r="E585" s="7" t="s">
        <v>1815</v>
      </c>
      <c r="F585" s="7" t="s">
        <v>1816</v>
      </c>
      <c r="J585" s="7" t="s">
        <v>1817</v>
      </c>
    </row>
    <row r="586" ht="15.75" customHeight="1">
      <c r="A586" s="223"/>
    </row>
    <row r="587" ht="15.75" customHeight="1">
      <c r="B587" s="116">
        <v>0.7291666666666666</v>
      </c>
      <c r="E587" s="7" t="s">
        <v>1818</v>
      </c>
      <c r="F587" s="7">
        <v>1.0</v>
      </c>
      <c r="G587" s="7" t="s">
        <v>1819</v>
      </c>
      <c r="H587" s="7" t="s">
        <v>1820</v>
      </c>
    </row>
    <row r="588" ht="15.75" customHeight="1">
      <c r="A588" s="223"/>
      <c r="E588" s="7" t="s">
        <v>1821</v>
      </c>
      <c r="F588" s="7">
        <v>2.0</v>
      </c>
      <c r="G588" s="7" t="s">
        <v>1822</v>
      </c>
      <c r="H588" s="7" t="s">
        <v>1823</v>
      </c>
    </row>
    <row r="589" ht="15.75" customHeight="1">
      <c r="A589" s="223"/>
      <c r="E589" s="7" t="s">
        <v>1824</v>
      </c>
      <c r="F589" s="7">
        <v>3.0</v>
      </c>
      <c r="G589" s="7" t="s">
        <v>1825</v>
      </c>
      <c r="H589" s="7" t="s">
        <v>1826</v>
      </c>
    </row>
    <row r="590" ht="15.75" customHeight="1">
      <c r="A590" s="223"/>
      <c r="E590" s="7" t="s">
        <v>1827</v>
      </c>
      <c r="F590" s="7">
        <v>4.0</v>
      </c>
      <c r="G590" s="7" t="s">
        <v>1828</v>
      </c>
      <c r="H590" s="7" t="s">
        <v>1826</v>
      </c>
    </row>
    <row r="591" ht="15.75" customHeight="1">
      <c r="A591" s="223"/>
      <c r="C591" s="7"/>
      <c r="E591" s="7" t="s">
        <v>1829</v>
      </c>
      <c r="F591" s="7">
        <v>5.0</v>
      </c>
      <c r="G591" s="7" t="s">
        <v>1830</v>
      </c>
      <c r="H591" s="7" t="s">
        <v>1826</v>
      </c>
    </row>
    <row r="592" ht="15.75" customHeight="1">
      <c r="A592" s="223"/>
      <c r="C592" s="7"/>
      <c r="E592" s="7"/>
      <c r="F592" s="7"/>
      <c r="G592" s="7"/>
      <c r="H592" s="7"/>
    </row>
    <row r="593" ht="15.75" customHeight="1">
      <c r="A593" s="223"/>
      <c r="C593" s="7"/>
      <c r="E593" s="7" t="s">
        <v>1831</v>
      </c>
      <c r="F593" s="7">
        <v>6.0</v>
      </c>
      <c r="G593" s="7" t="s">
        <v>1819</v>
      </c>
    </row>
    <row r="594" ht="15.75" customHeight="1">
      <c r="A594" s="223"/>
      <c r="C594" s="7"/>
      <c r="E594" s="7" t="s">
        <v>1832</v>
      </c>
      <c r="H594" s="7" t="s">
        <v>1833</v>
      </c>
      <c r="I594" s="7" t="s">
        <v>1834</v>
      </c>
    </row>
    <row r="595" ht="15.75" customHeight="1">
      <c r="A595" s="223"/>
      <c r="C595" s="7"/>
      <c r="E595" s="7" t="s">
        <v>1836</v>
      </c>
      <c r="H595" s="7" t="s">
        <v>1838</v>
      </c>
    </row>
    <row r="596" ht="15.75" customHeight="1">
      <c r="A596" s="223"/>
      <c r="C596" s="7"/>
      <c r="E596" s="7" t="s">
        <v>1840</v>
      </c>
      <c r="G596" s="7" t="s">
        <v>1841</v>
      </c>
      <c r="H596" s="7" t="s">
        <v>1842</v>
      </c>
    </row>
    <row r="597" ht="15.75" customHeight="1">
      <c r="A597" s="223"/>
      <c r="C597" s="7"/>
      <c r="E597" s="7" t="s">
        <v>1843</v>
      </c>
      <c r="G597" s="7" t="s">
        <v>1819</v>
      </c>
      <c r="H597" s="7" t="s">
        <v>1844</v>
      </c>
    </row>
    <row r="598" ht="15.75" customHeight="1">
      <c r="A598" s="223"/>
      <c r="C598" s="7"/>
    </row>
    <row r="599" ht="15.75" customHeight="1">
      <c r="A599" s="223"/>
      <c r="C599" s="7"/>
    </row>
    <row r="600" ht="15.75" customHeight="1">
      <c r="A600" s="223"/>
      <c r="C600" s="7"/>
    </row>
    <row r="601" ht="15.75" customHeight="1">
      <c r="A601" s="223"/>
      <c r="C601" s="7" t="s">
        <v>1845</v>
      </c>
      <c r="E601" s="7" t="s">
        <v>1846</v>
      </c>
      <c r="G601" s="7" t="s">
        <v>1847</v>
      </c>
    </row>
    <row r="602" ht="15.75" customHeight="1">
      <c r="A602" s="223"/>
      <c r="C602" s="7" t="s">
        <v>1848</v>
      </c>
      <c r="E602" s="7" t="s">
        <v>1849</v>
      </c>
      <c r="G602" s="7" t="s">
        <v>1850</v>
      </c>
    </row>
    <row r="603" ht="15.75" customHeight="1">
      <c r="A603" s="223"/>
      <c r="C603" s="7" t="s">
        <v>1851</v>
      </c>
      <c r="E603" s="237" t="s">
        <v>1852</v>
      </c>
      <c r="G603" s="7" t="s">
        <v>1853</v>
      </c>
    </row>
    <row r="604" ht="15.75" customHeight="1">
      <c r="A604" s="223"/>
      <c r="C604" s="7"/>
    </row>
    <row r="605" ht="15.75" customHeight="1">
      <c r="A605" s="223"/>
      <c r="C605" s="7"/>
    </row>
    <row r="606" ht="15.75" customHeight="1">
      <c r="A606" s="223"/>
      <c r="C606" s="7"/>
    </row>
    <row r="607" ht="15.75" customHeight="1">
      <c r="A607" s="223">
        <v>46255.0</v>
      </c>
      <c r="C607" s="7"/>
      <c r="E607" s="361" t="s">
        <v>1854</v>
      </c>
    </row>
    <row r="608" ht="15.75" customHeight="1">
      <c r="B608" s="116">
        <v>0.35833333333333334</v>
      </c>
      <c r="C608" s="7" t="s">
        <v>1855</v>
      </c>
      <c r="E608" s="7" t="s">
        <v>1856</v>
      </c>
      <c r="F608" s="7">
        <v>1.0</v>
      </c>
      <c r="J608" s="7" t="s">
        <v>1857</v>
      </c>
      <c r="K608" s="7" t="s">
        <v>1858</v>
      </c>
    </row>
    <row r="609" ht="15.75" customHeight="1">
      <c r="B609" s="116">
        <v>0.3958333333333333</v>
      </c>
      <c r="C609" s="7" t="s">
        <v>1859</v>
      </c>
      <c r="E609" s="237" t="s">
        <v>1860</v>
      </c>
      <c r="F609" s="7">
        <v>3.0</v>
      </c>
      <c r="G609" s="7">
        <v>1.0</v>
      </c>
      <c r="H609" s="7" t="s">
        <v>1861</v>
      </c>
      <c r="I609" s="7" t="s">
        <v>786</v>
      </c>
      <c r="K609" s="7" t="s">
        <v>1862</v>
      </c>
      <c r="L609" s="7" t="s">
        <v>1863</v>
      </c>
    </row>
    <row r="610" ht="15.75" customHeight="1">
      <c r="B610" s="116">
        <v>0.40902777777777777</v>
      </c>
      <c r="C610" s="7" t="s">
        <v>1865</v>
      </c>
      <c r="E610" s="237" t="s">
        <v>1867</v>
      </c>
      <c r="F610" s="7">
        <v>4.0</v>
      </c>
      <c r="G610" s="7">
        <v>2.0</v>
      </c>
      <c r="H610" s="7" t="s">
        <v>1861</v>
      </c>
      <c r="I610" s="7" t="s">
        <v>786</v>
      </c>
      <c r="K610" s="7" t="s">
        <v>1868</v>
      </c>
      <c r="L610" s="7" t="s">
        <v>1870</v>
      </c>
    </row>
    <row r="611" ht="15.75" customHeight="1">
      <c r="A611" s="7"/>
      <c r="B611" s="116">
        <v>0.4236111111111111</v>
      </c>
      <c r="C611" s="7" t="s">
        <v>1871</v>
      </c>
      <c r="E611" s="237" t="s">
        <v>1872</v>
      </c>
      <c r="F611" s="7">
        <v>5.0</v>
      </c>
      <c r="G611" s="7">
        <v>3.0</v>
      </c>
      <c r="H611" s="7" t="s">
        <v>1861</v>
      </c>
      <c r="I611" s="7" t="s">
        <v>786</v>
      </c>
      <c r="K611" s="7" t="s">
        <v>1873</v>
      </c>
      <c r="L611" s="7" t="s">
        <v>1874</v>
      </c>
    </row>
    <row r="612" ht="15.75" customHeight="1">
      <c r="A612" s="7"/>
      <c r="B612" s="116">
        <v>0.44027777777777777</v>
      </c>
      <c r="C612" s="7" t="s">
        <v>1875</v>
      </c>
      <c r="E612" s="237" t="s">
        <v>1876</v>
      </c>
      <c r="F612" s="7">
        <v>6.0</v>
      </c>
      <c r="G612" s="7">
        <v>4.0</v>
      </c>
      <c r="H612" s="7" t="s">
        <v>1861</v>
      </c>
      <c r="I612" s="7" t="s">
        <v>786</v>
      </c>
      <c r="K612" s="7" t="s">
        <v>1877</v>
      </c>
      <c r="L612" s="7" t="s">
        <v>1878</v>
      </c>
    </row>
    <row r="613" ht="15.75" customHeight="1">
      <c r="B613" s="116">
        <v>0.45416666666666666</v>
      </c>
      <c r="C613" s="7" t="s">
        <v>1879</v>
      </c>
      <c r="E613" s="7" t="s">
        <v>1880</v>
      </c>
      <c r="F613" s="7">
        <v>7.0</v>
      </c>
      <c r="H613" s="7" t="s">
        <v>1861</v>
      </c>
      <c r="I613" s="7" t="s">
        <v>786</v>
      </c>
      <c r="K613" s="7" t="s">
        <v>1881</v>
      </c>
      <c r="L613" s="7" t="s">
        <v>1882</v>
      </c>
    </row>
    <row r="614" ht="15.75" customHeight="1">
      <c r="A614" s="7"/>
      <c r="B614" s="116">
        <v>0.45694444444444443</v>
      </c>
      <c r="C614" s="7" t="s">
        <v>1883</v>
      </c>
      <c r="E614" s="7" t="s">
        <v>1884</v>
      </c>
      <c r="F614" s="7">
        <v>8.0</v>
      </c>
      <c r="H614" s="7" t="s">
        <v>1861</v>
      </c>
      <c r="I614" s="7" t="s">
        <v>786</v>
      </c>
      <c r="K614" s="7" t="s">
        <v>1885</v>
      </c>
      <c r="L614" s="7" t="s">
        <v>1886</v>
      </c>
    </row>
    <row r="615" ht="15.75" customHeight="1">
      <c r="B615" s="116">
        <v>0.4597222222222222</v>
      </c>
      <c r="C615" s="7" t="s">
        <v>1887</v>
      </c>
      <c r="E615" s="237" t="s">
        <v>1888</v>
      </c>
      <c r="F615" s="7">
        <v>9.0</v>
      </c>
      <c r="G615" s="7">
        <v>5.0</v>
      </c>
      <c r="H615" s="7" t="s">
        <v>1861</v>
      </c>
      <c r="I615" s="7" t="s">
        <v>786</v>
      </c>
      <c r="K615" s="7" t="s">
        <v>1889</v>
      </c>
      <c r="L615" s="7" t="s">
        <v>1890</v>
      </c>
    </row>
    <row r="616" ht="15.75" customHeight="1">
      <c r="A616" s="7"/>
      <c r="B616" s="116">
        <v>0.4638888888888889</v>
      </c>
      <c r="C616" s="7" t="s">
        <v>1891</v>
      </c>
      <c r="E616" s="237" t="s">
        <v>1892</v>
      </c>
      <c r="F616" s="7">
        <v>10.0</v>
      </c>
      <c r="G616" s="7">
        <v>6.0</v>
      </c>
      <c r="H616" s="7" t="s">
        <v>1861</v>
      </c>
      <c r="I616" s="7" t="s">
        <v>786</v>
      </c>
      <c r="K616" s="7" t="s">
        <v>1894</v>
      </c>
      <c r="L616" s="7" t="s">
        <v>1895</v>
      </c>
    </row>
    <row r="617" ht="15.75" customHeight="1">
      <c r="A617" s="7"/>
      <c r="B617" s="116">
        <v>0.48055555555555557</v>
      </c>
      <c r="C617" s="7" t="s">
        <v>1896</v>
      </c>
      <c r="E617" s="237" t="s">
        <v>1898</v>
      </c>
      <c r="F617" s="7">
        <v>11.0</v>
      </c>
      <c r="G617" s="7">
        <v>7.0</v>
      </c>
      <c r="H617" s="7" t="s">
        <v>1861</v>
      </c>
      <c r="I617" s="7" t="s">
        <v>786</v>
      </c>
      <c r="K617" s="7" t="s">
        <v>1899</v>
      </c>
      <c r="L617" s="7" t="s">
        <v>1900</v>
      </c>
    </row>
    <row r="618" ht="15.75" customHeight="1">
      <c r="A618" s="7"/>
    </row>
    <row r="619" ht="15.75" customHeight="1">
      <c r="A619" s="7" t="s">
        <v>1597</v>
      </c>
    </row>
    <row r="620" ht="15.75" customHeight="1">
      <c r="A620" s="7"/>
      <c r="B620" s="116">
        <v>0.5</v>
      </c>
      <c r="C620" s="7" t="s">
        <v>1901</v>
      </c>
      <c r="E620" s="162" t="s">
        <v>1902</v>
      </c>
      <c r="F620" s="7" t="s">
        <v>1903</v>
      </c>
      <c r="G620" s="7"/>
      <c r="H620" s="7"/>
      <c r="I620" s="7"/>
      <c r="K620" s="7" t="s">
        <v>1904</v>
      </c>
    </row>
    <row r="621" ht="15.75" customHeight="1">
      <c r="B621" s="116">
        <v>0.5034722222222222</v>
      </c>
      <c r="E621" s="7" t="s">
        <v>1905</v>
      </c>
      <c r="K621" s="7" t="s">
        <v>1906</v>
      </c>
    </row>
    <row r="622" ht="15.75" customHeight="1">
      <c r="A622" s="7"/>
      <c r="B622" s="121">
        <v>0.50625</v>
      </c>
      <c r="E622" s="7" t="s">
        <v>1907</v>
      </c>
      <c r="G622" s="7"/>
      <c r="H622" s="7"/>
      <c r="I622" s="7"/>
      <c r="K622" s="7" t="s">
        <v>1908</v>
      </c>
    </row>
    <row r="623" ht="15.75" customHeight="1">
      <c r="A623" s="7"/>
      <c r="B623" s="121">
        <v>0.5097222222222222</v>
      </c>
      <c r="E623" s="7" t="s">
        <v>1909</v>
      </c>
      <c r="K623" s="7" t="s">
        <v>1910</v>
      </c>
    </row>
    <row r="624" ht="15.75" customHeight="1">
      <c r="B624" s="121">
        <v>0.5138888888888888</v>
      </c>
      <c r="E624" s="7" t="s">
        <v>1911</v>
      </c>
      <c r="G624" s="7"/>
      <c r="H624" s="7"/>
      <c r="I624" s="7"/>
      <c r="K624" s="7" t="s">
        <v>1912</v>
      </c>
    </row>
    <row r="625" ht="15.75" customHeight="1">
      <c r="A625" s="7"/>
      <c r="B625" s="121">
        <v>0.5173611111111112</v>
      </c>
      <c r="E625" s="162" t="s">
        <v>1913</v>
      </c>
      <c r="G625" s="7"/>
      <c r="H625" s="7"/>
      <c r="I625" s="7"/>
      <c r="K625" s="7" t="s">
        <v>1914</v>
      </c>
    </row>
    <row r="626" ht="15.75" customHeight="1">
      <c r="B626" s="121">
        <v>0.5208333333333334</v>
      </c>
      <c r="E626" s="7" t="s">
        <v>1915</v>
      </c>
      <c r="G626" s="7"/>
      <c r="H626" s="7"/>
      <c r="I626" s="7"/>
      <c r="K626" s="7" t="s">
        <v>1916</v>
      </c>
    </row>
    <row r="627" ht="15.75" customHeight="1">
      <c r="B627" s="121">
        <v>0.5243055555555556</v>
      </c>
      <c r="E627" s="7" t="s">
        <v>1917</v>
      </c>
      <c r="G627" s="7"/>
      <c r="H627" s="7"/>
      <c r="I627" s="7"/>
      <c r="K627" s="7" t="s">
        <v>1918</v>
      </c>
    </row>
    <row r="628" ht="15.75" customHeight="1">
      <c r="A628" s="7"/>
      <c r="B628" s="121">
        <v>0.5277777777777778</v>
      </c>
      <c r="E628" s="7" t="s">
        <v>1919</v>
      </c>
      <c r="G628" s="7"/>
      <c r="H628" s="7"/>
      <c r="I628" s="7"/>
      <c r="K628" s="7" t="s">
        <v>1920</v>
      </c>
    </row>
    <row r="629" ht="15.75" customHeight="1">
      <c r="B629" s="121">
        <v>0.53125</v>
      </c>
      <c r="E629" s="162" t="s">
        <v>1921</v>
      </c>
      <c r="G629" s="7"/>
      <c r="H629" s="7"/>
      <c r="I629" s="7"/>
      <c r="K629" s="7" t="s">
        <v>1922</v>
      </c>
    </row>
    <row r="630" ht="15.75" customHeight="1">
      <c r="A630" s="7"/>
      <c r="G630" s="7"/>
      <c r="H630" s="7"/>
      <c r="I630" s="7"/>
    </row>
    <row r="631" ht="15.75" customHeight="1">
      <c r="A631" s="7"/>
      <c r="G631" s="7"/>
      <c r="H631" s="7"/>
      <c r="I631" s="7"/>
    </row>
    <row r="632" ht="15.75" customHeight="1">
      <c r="A632" s="7" t="s">
        <v>616</v>
      </c>
      <c r="G632" s="7"/>
      <c r="H632" s="7"/>
      <c r="I632" s="7"/>
    </row>
    <row r="633" ht="15.75" customHeight="1">
      <c r="A633" s="7"/>
      <c r="B633" s="116">
        <v>0.5493055555555556</v>
      </c>
      <c r="C633" s="7" t="s">
        <v>1923</v>
      </c>
      <c r="E633" s="237" t="s">
        <v>1902</v>
      </c>
      <c r="F633" s="7">
        <v>12.0</v>
      </c>
      <c r="G633" s="7">
        <v>8.0</v>
      </c>
      <c r="H633" s="7" t="s">
        <v>1861</v>
      </c>
      <c r="I633" s="7" t="s">
        <v>786</v>
      </c>
      <c r="K633" s="7" t="s">
        <v>1924</v>
      </c>
    </row>
    <row r="634" ht="15.75" customHeight="1">
      <c r="B634" s="121">
        <v>0.06041666666666667</v>
      </c>
      <c r="C634" s="7" t="s">
        <v>1925</v>
      </c>
      <c r="E634" s="237" t="s">
        <v>1913</v>
      </c>
      <c r="F634" s="7">
        <v>13.0</v>
      </c>
      <c r="G634" s="7">
        <v>9.0</v>
      </c>
      <c r="H634" s="7" t="s">
        <v>1861</v>
      </c>
      <c r="I634" s="7" t="s">
        <v>786</v>
      </c>
      <c r="K634" s="7" t="s">
        <v>1926</v>
      </c>
    </row>
    <row r="635" ht="15.75" customHeight="1">
      <c r="A635" s="7"/>
      <c r="B635" s="116">
        <v>0.5708333333333333</v>
      </c>
      <c r="C635" s="7" t="s">
        <v>1927</v>
      </c>
      <c r="E635" s="237" t="s">
        <v>1928</v>
      </c>
      <c r="F635" s="7">
        <v>14.0</v>
      </c>
      <c r="G635" s="7">
        <v>10.0</v>
      </c>
      <c r="H635" s="7" t="s">
        <v>1861</v>
      </c>
      <c r="I635" s="7" t="s">
        <v>786</v>
      </c>
      <c r="K635" s="7" t="s">
        <v>1929</v>
      </c>
    </row>
    <row r="636" ht="15.75" customHeight="1">
      <c r="A636" s="7"/>
      <c r="B636" s="116">
        <v>0.5847222222222223</v>
      </c>
      <c r="C636" s="7" t="s">
        <v>1930</v>
      </c>
      <c r="E636" s="237" t="s">
        <v>1931</v>
      </c>
      <c r="F636" s="7">
        <v>15.0</v>
      </c>
      <c r="G636" s="7">
        <v>11.0</v>
      </c>
      <c r="H636" s="7" t="s">
        <v>1861</v>
      </c>
      <c r="I636" s="7" t="s">
        <v>786</v>
      </c>
      <c r="K636" s="7" t="s">
        <v>1932</v>
      </c>
    </row>
    <row r="637" ht="15.75" customHeight="1"/>
    <row r="638" ht="15.75" customHeight="1">
      <c r="A638" s="7"/>
      <c r="E638" s="297" t="s">
        <v>1933</v>
      </c>
      <c r="G638" s="7"/>
      <c r="H638" s="7"/>
      <c r="I638" s="7"/>
      <c r="K638" s="7" t="s">
        <v>1934</v>
      </c>
    </row>
    <row r="639" ht="15.75" customHeight="1">
      <c r="B639" s="116">
        <v>0.5895833333333333</v>
      </c>
      <c r="C639" s="7" t="s">
        <v>1935</v>
      </c>
      <c r="E639" s="237" t="s">
        <v>1936</v>
      </c>
      <c r="F639" s="7">
        <v>1.0</v>
      </c>
      <c r="G639" s="7">
        <v>12.0</v>
      </c>
      <c r="H639" s="7" t="s">
        <v>1861</v>
      </c>
      <c r="I639" s="7" t="s">
        <v>786</v>
      </c>
      <c r="K639" s="7" t="s">
        <v>1937</v>
      </c>
    </row>
    <row r="640" ht="15.75" customHeight="1">
      <c r="A640" s="7"/>
      <c r="B640" s="7" t="s">
        <v>1938</v>
      </c>
      <c r="C640" s="7" t="s">
        <v>1939</v>
      </c>
      <c r="E640" s="237" t="s">
        <v>1940</v>
      </c>
      <c r="F640" s="7">
        <v>2.0</v>
      </c>
      <c r="G640" s="7">
        <v>13.0</v>
      </c>
      <c r="H640" s="7" t="s">
        <v>1861</v>
      </c>
      <c r="I640" s="7" t="s">
        <v>786</v>
      </c>
      <c r="K640" s="7" t="s">
        <v>1937</v>
      </c>
    </row>
    <row r="641" ht="15.75" customHeight="1">
      <c r="B641" s="121">
        <v>0.10555555555555556</v>
      </c>
      <c r="C641" s="7" t="s">
        <v>1941</v>
      </c>
      <c r="E641" s="237" t="s">
        <v>1942</v>
      </c>
      <c r="F641" s="7">
        <v>3.0</v>
      </c>
      <c r="G641" s="7">
        <v>14.0</v>
      </c>
      <c r="H641" s="7" t="s">
        <v>1861</v>
      </c>
      <c r="I641" s="7" t="s">
        <v>786</v>
      </c>
      <c r="K641" s="355" t="s">
        <v>1943</v>
      </c>
    </row>
    <row r="642" ht="15.75" customHeight="1">
      <c r="A642" s="7"/>
      <c r="B642" s="116">
        <v>0.6097222222222223</v>
      </c>
      <c r="C642" s="7" t="s">
        <v>1944</v>
      </c>
      <c r="E642" s="237" t="s">
        <v>1945</v>
      </c>
      <c r="F642" s="7">
        <v>4.0</v>
      </c>
      <c r="G642" s="7">
        <v>15.0</v>
      </c>
      <c r="H642" s="7" t="s">
        <v>1861</v>
      </c>
      <c r="I642" s="7" t="s">
        <v>786</v>
      </c>
      <c r="K642" s="7" t="s">
        <v>1937</v>
      </c>
    </row>
    <row r="643" ht="15.75" customHeight="1">
      <c r="B643" s="116">
        <v>0.6166666666666667</v>
      </c>
      <c r="C643" s="7" t="s">
        <v>1946</v>
      </c>
      <c r="E643" s="237" t="s">
        <v>1947</v>
      </c>
      <c r="F643" s="7">
        <v>17.0</v>
      </c>
      <c r="G643" s="7">
        <v>16.0</v>
      </c>
      <c r="H643" s="7" t="s">
        <v>1861</v>
      </c>
      <c r="I643" s="7" t="s">
        <v>786</v>
      </c>
      <c r="K643" s="7" t="s">
        <v>1948</v>
      </c>
    </row>
    <row r="644" ht="15.75" customHeight="1">
      <c r="A644" s="7"/>
      <c r="B644" s="116">
        <v>0.625</v>
      </c>
      <c r="C644" s="7" t="s">
        <v>1949</v>
      </c>
      <c r="E644" s="7" t="s">
        <v>1950</v>
      </c>
      <c r="F644" s="7">
        <v>18.0</v>
      </c>
      <c r="K644" s="7" t="s">
        <v>1951</v>
      </c>
    </row>
    <row r="645" ht="15.75" customHeight="1">
      <c r="A645" s="7"/>
      <c r="B645" s="116">
        <v>0.625</v>
      </c>
      <c r="C645" s="7" t="s">
        <v>1952</v>
      </c>
      <c r="E645" s="7" t="s">
        <v>1953</v>
      </c>
      <c r="F645" s="7">
        <v>19.0</v>
      </c>
      <c r="K645" s="7" t="s">
        <v>1954</v>
      </c>
    </row>
    <row r="646" ht="15.75" customHeight="1">
      <c r="A646" s="7"/>
      <c r="C646" s="7" t="s">
        <v>1952</v>
      </c>
      <c r="E646" s="7" t="s">
        <v>1955</v>
      </c>
      <c r="F646" s="7">
        <v>20.0</v>
      </c>
      <c r="K646" s="7" t="s">
        <v>1956</v>
      </c>
    </row>
    <row r="647" ht="15.75" customHeight="1">
      <c r="A647" s="7"/>
      <c r="B647" s="116">
        <v>0.6388888888888888</v>
      </c>
      <c r="C647" s="7" t="s">
        <v>1957</v>
      </c>
      <c r="E647" s="237" t="s">
        <v>1958</v>
      </c>
      <c r="F647" s="7">
        <v>20.0</v>
      </c>
      <c r="G647" s="7">
        <v>17.0</v>
      </c>
      <c r="H647" s="7" t="s">
        <v>1861</v>
      </c>
      <c r="I647" s="7" t="s">
        <v>786</v>
      </c>
      <c r="K647" s="7" t="s">
        <v>1959</v>
      </c>
    </row>
    <row r="648" ht="15.75" customHeight="1">
      <c r="B648" s="116">
        <v>0.6527777777777778</v>
      </c>
      <c r="C648" s="7" t="s">
        <v>1960</v>
      </c>
      <c r="E648" s="7" t="s">
        <v>1961</v>
      </c>
      <c r="F648" s="7">
        <v>22.0</v>
      </c>
      <c r="K648" s="7" t="s">
        <v>1962</v>
      </c>
    </row>
    <row r="649" ht="15.75" customHeight="1">
      <c r="A649" s="7"/>
      <c r="B649" s="116">
        <v>0.6555555555555556</v>
      </c>
      <c r="C649" s="7" t="s">
        <v>1963</v>
      </c>
      <c r="E649" s="237" t="s">
        <v>1964</v>
      </c>
      <c r="F649" s="7">
        <v>23.0</v>
      </c>
      <c r="G649" s="7">
        <v>18.0</v>
      </c>
      <c r="H649" s="7" t="s">
        <v>1861</v>
      </c>
      <c r="I649" s="7" t="s">
        <v>786</v>
      </c>
      <c r="K649" s="7" t="s">
        <v>1965</v>
      </c>
    </row>
    <row r="650" ht="15.75" customHeight="1">
      <c r="A650" s="7"/>
      <c r="B650" s="116">
        <v>0.6666666666666666</v>
      </c>
      <c r="C650" s="7" t="s">
        <v>1967</v>
      </c>
      <c r="E650" s="237" t="s">
        <v>1968</v>
      </c>
      <c r="F650" s="7">
        <v>24.0</v>
      </c>
      <c r="G650" s="7">
        <v>19.0</v>
      </c>
      <c r="H650" s="7" t="s">
        <v>1861</v>
      </c>
      <c r="I650" s="7" t="s">
        <v>786</v>
      </c>
      <c r="K650" s="7" t="s">
        <v>1969</v>
      </c>
    </row>
    <row r="651" ht="15.75" customHeight="1">
      <c r="B651" s="238">
        <v>0.6770833333333334</v>
      </c>
      <c r="C651" s="13" t="s">
        <v>1970</v>
      </c>
      <c r="D651" s="10"/>
      <c r="E651" s="239" t="s">
        <v>1971</v>
      </c>
      <c r="F651" s="240">
        <v>26.0</v>
      </c>
      <c r="G651" s="240">
        <v>20.0</v>
      </c>
      <c r="H651" s="10" t="s">
        <v>1861</v>
      </c>
      <c r="I651" s="10" t="s">
        <v>786</v>
      </c>
      <c r="J651" s="10"/>
      <c r="K651" s="13" t="s">
        <v>1972</v>
      </c>
    </row>
    <row r="652" ht="15.75" customHeight="1">
      <c r="B652" s="238">
        <v>0.6805555555555556</v>
      </c>
      <c r="C652" s="13" t="s">
        <v>1973</v>
      </c>
      <c r="D652" s="10"/>
      <c r="E652" s="239" t="s">
        <v>1974</v>
      </c>
      <c r="F652" s="240">
        <v>27.0</v>
      </c>
      <c r="G652" s="240">
        <v>21.0</v>
      </c>
      <c r="H652" s="10" t="s">
        <v>1861</v>
      </c>
      <c r="I652" s="10" t="s">
        <v>786</v>
      </c>
      <c r="J652" s="10"/>
      <c r="K652" s="13" t="s">
        <v>1975</v>
      </c>
    </row>
    <row r="653" ht="15.75" customHeight="1">
      <c r="B653" s="238">
        <v>0.6944444444444444</v>
      </c>
      <c r="C653" s="13" t="s">
        <v>1976</v>
      </c>
      <c r="D653" s="10"/>
      <c r="E653" s="13" t="s">
        <v>1977</v>
      </c>
      <c r="F653" s="240">
        <v>28.0</v>
      </c>
      <c r="G653" s="240"/>
      <c r="H653" s="10"/>
      <c r="I653" s="10"/>
      <c r="J653" s="10"/>
      <c r="K653" s="13" t="s">
        <v>1978</v>
      </c>
    </row>
    <row r="654" ht="15.75" customHeight="1">
      <c r="B654" s="238">
        <v>0.6979166666666666</v>
      </c>
      <c r="C654" s="13" t="s">
        <v>1979</v>
      </c>
      <c r="D654" s="10"/>
      <c r="E654" s="13" t="s">
        <v>1980</v>
      </c>
      <c r="F654" s="240">
        <v>29.0</v>
      </c>
      <c r="K654" s="13" t="s">
        <v>1981</v>
      </c>
    </row>
    <row r="655" ht="15.75" customHeight="1">
      <c r="A655" s="362"/>
      <c r="B655" s="116">
        <v>0.7013888888888888</v>
      </c>
      <c r="C655" s="13" t="s">
        <v>1982</v>
      </c>
      <c r="E655" s="239" t="s">
        <v>1984</v>
      </c>
      <c r="F655" s="7">
        <v>30.0</v>
      </c>
      <c r="G655" s="240">
        <v>22.0</v>
      </c>
      <c r="H655" s="10" t="s">
        <v>1861</v>
      </c>
      <c r="I655" s="10" t="s">
        <v>786</v>
      </c>
      <c r="J655" s="10"/>
      <c r="K655" s="7" t="s">
        <v>1985</v>
      </c>
    </row>
    <row r="656" ht="15.75" customHeight="1">
      <c r="A656" s="7"/>
      <c r="J656" s="52"/>
    </row>
    <row r="657" ht="15.75" customHeight="1">
      <c r="A657" s="7"/>
      <c r="J657" s="52"/>
    </row>
    <row r="658" ht="15.75" customHeight="1"/>
    <row r="659" ht="15.75" customHeight="1">
      <c r="A659" s="7"/>
      <c r="J659" s="52"/>
    </row>
    <row r="660" ht="15.75" customHeight="1">
      <c r="B660" s="116">
        <v>0.3388888888888889</v>
      </c>
      <c r="C660" s="13" t="s">
        <v>1986</v>
      </c>
      <c r="E660" s="7" t="s">
        <v>1987</v>
      </c>
      <c r="J660" s="52"/>
    </row>
    <row r="661" ht="15.75" customHeight="1">
      <c r="J661" s="52"/>
    </row>
    <row r="662" ht="15.75" customHeight="1">
      <c r="E662" s="7"/>
      <c r="F662" s="7"/>
      <c r="J662" s="52"/>
    </row>
    <row r="663" ht="15.75" customHeight="1">
      <c r="J663" s="52"/>
    </row>
    <row r="664" ht="15.75" customHeight="1">
      <c r="J664" s="52"/>
    </row>
    <row r="665" ht="15.75" customHeight="1">
      <c r="J665" s="52"/>
    </row>
    <row r="666" ht="15.75" customHeight="1">
      <c r="J666" s="52"/>
    </row>
    <row r="667" ht="15.75" customHeight="1">
      <c r="J667" s="52"/>
      <c r="K667" s="117"/>
    </row>
    <row r="668" ht="15.75" customHeight="1">
      <c r="J668" s="52"/>
      <c r="K668" s="117"/>
    </row>
    <row r="669" ht="15.75" customHeight="1">
      <c r="J669" s="52"/>
      <c r="K669" s="117"/>
    </row>
    <row r="670" ht="15.75" customHeight="1">
      <c r="J670" s="52"/>
    </row>
    <row r="671" ht="15.75" customHeight="1">
      <c r="J671" s="52"/>
      <c r="K671" s="52"/>
    </row>
    <row r="672" ht="15.75" customHeight="1">
      <c r="J672" s="52"/>
      <c r="K672" s="52"/>
    </row>
    <row r="673" ht="15.75" customHeight="1">
      <c r="J673" s="52"/>
      <c r="K673" s="52"/>
    </row>
    <row r="674" ht="15.75" customHeight="1">
      <c r="J674" s="52"/>
      <c r="K674" s="52"/>
    </row>
    <row r="675" ht="15.75" customHeight="1">
      <c r="J675" s="52"/>
      <c r="K675" s="52"/>
    </row>
    <row r="676" ht="15.75" customHeight="1">
      <c r="J676" s="52"/>
      <c r="K676" s="52"/>
    </row>
    <row r="677" ht="15.75" customHeight="1">
      <c r="J677" s="52"/>
      <c r="K677" s="52"/>
    </row>
    <row r="678" ht="15.75" customHeight="1">
      <c r="J678" s="52"/>
      <c r="K678" s="52"/>
    </row>
    <row r="679" ht="15.75" customHeight="1">
      <c r="J679" s="52"/>
      <c r="K679" s="52"/>
    </row>
    <row r="680" ht="15.75" customHeight="1">
      <c r="J680" s="52"/>
      <c r="K680" s="52"/>
    </row>
    <row r="681" ht="15.75" customHeight="1">
      <c r="J681" s="52"/>
      <c r="K681" s="52"/>
    </row>
    <row r="682" ht="15.75" customHeight="1">
      <c r="J682" s="52"/>
      <c r="K682" s="52"/>
    </row>
    <row r="683" ht="15.75" customHeight="1">
      <c r="J683" s="52"/>
      <c r="K683" s="52"/>
    </row>
    <row r="684" ht="15.75" customHeight="1">
      <c r="J684" s="52"/>
      <c r="K684" s="52"/>
    </row>
    <row r="685" ht="15.75" customHeight="1">
      <c r="J685" s="52"/>
      <c r="K685" s="52"/>
    </row>
    <row r="686" ht="15.75" customHeight="1">
      <c r="J686" s="52"/>
      <c r="K686" s="52"/>
    </row>
    <row r="687" ht="15.75" customHeight="1">
      <c r="J687" s="52"/>
      <c r="K687" s="52"/>
    </row>
    <row r="688" ht="15.75" customHeight="1">
      <c r="J688" s="52"/>
      <c r="K688" s="52"/>
    </row>
    <row r="689" ht="15.75" customHeight="1">
      <c r="J689" s="52"/>
      <c r="K689" s="52"/>
    </row>
    <row r="690" ht="15.75" customHeight="1">
      <c r="J690" s="52"/>
      <c r="K690" s="52"/>
    </row>
    <row r="691" ht="15.75" customHeight="1">
      <c r="J691" s="52"/>
      <c r="K691" s="52"/>
    </row>
    <row r="692" ht="15.75" customHeight="1">
      <c r="J692" s="52"/>
      <c r="K692" s="52"/>
    </row>
    <row r="693" ht="15.75" customHeight="1">
      <c r="J693" s="52"/>
      <c r="K693" s="52"/>
    </row>
    <row r="694" ht="15.75" customHeight="1">
      <c r="J694" s="52"/>
      <c r="K694" s="52"/>
    </row>
    <row r="695" ht="15.75" customHeight="1">
      <c r="J695" s="52"/>
      <c r="K695" s="52"/>
    </row>
    <row r="696" ht="15.75" customHeight="1">
      <c r="J696" s="52"/>
      <c r="K696" s="52"/>
    </row>
    <row r="697" ht="15.75" customHeight="1">
      <c r="J697" s="52"/>
      <c r="K697" s="52"/>
    </row>
    <row r="698" ht="15.75" customHeight="1">
      <c r="J698" s="52"/>
      <c r="K698" s="52"/>
    </row>
    <row r="699" ht="15.75" customHeight="1">
      <c r="J699" s="52"/>
      <c r="K699" s="52"/>
    </row>
    <row r="700" ht="15.75" customHeight="1">
      <c r="J700" s="52"/>
      <c r="K700" s="52"/>
    </row>
    <row r="701" ht="15.75" customHeight="1">
      <c r="J701" s="52"/>
      <c r="K701" s="52"/>
    </row>
    <row r="702" ht="15.75" customHeight="1">
      <c r="J702" s="52"/>
      <c r="K702" s="52"/>
    </row>
    <row r="703" ht="15.75" customHeight="1">
      <c r="J703" s="52"/>
      <c r="K703" s="52"/>
    </row>
    <row r="704" ht="15.75" customHeight="1">
      <c r="J704" s="52"/>
      <c r="K704" s="52"/>
    </row>
    <row r="705" ht="15.75" customHeight="1">
      <c r="J705" s="52"/>
      <c r="K705" s="52"/>
    </row>
    <row r="706" ht="15.75" customHeight="1">
      <c r="J706" s="52"/>
      <c r="K706" s="52"/>
    </row>
    <row r="707" ht="15.75" customHeight="1">
      <c r="J707" s="52"/>
      <c r="K707" s="52"/>
    </row>
    <row r="708" ht="15.75" customHeight="1">
      <c r="J708" s="52"/>
      <c r="K708" s="52"/>
    </row>
    <row r="709" ht="15.75" customHeight="1">
      <c r="J709" s="52"/>
      <c r="K709" s="52"/>
    </row>
    <row r="710" ht="15.75" customHeight="1">
      <c r="J710" s="52"/>
      <c r="K710" s="52"/>
    </row>
    <row r="711" ht="15.75" customHeight="1">
      <c r="J711" s="52"/>
      <c r="K711" s="52"/>
    </row>
    <row r="712" ht="15.75" customHeight="1">
      <c r="J712" s="52"/>
      <c r="K712" s="52"/>
    </row>
    <row r="713" ht="15.75" customHeight="1">
      <c r="J713" s="52"/>
      <c r="K713" s="52"/>
    </row>
    <row r="714" ht="15.75" customHeight="1">
      <c r="J714" s="52"/>
      <c r="K714" s="52"/>
    </row>
    <row r="715" ht="15.75" customHeight="1">
      <c r="J715" s="52"/>
      <c r="K715" s="52"/>
    </row>
    <row r="716" ht="15.75" customHeight="1">
      <c r="J716" s="52"/>
      <c r="K716" s="52"/>
    </row>
    <row r="717" ht="15.75" customHeight="1">
      <c r="J717" s="52"/>
      <c r="K717" s="52"/>
    </row>
    <row r="718" ht="15.75" customHeight="1">
      <c r="J718" s="52"/>
      <c r="K718" s="52"/>
    </row>
    <row r="719" ht="15.75" customHeight="1">
      <c r="J719" s="52"/>
      <c r="K719" s="52"/>
    </row>
    <row r="720" ht="15.75" customHeight="1">
      <c r="J720" s="52"/>
      <c r="K720" s="52"/>
    </row>
    <row r="721" ht="15.75" customHeight="1">
      <c r="J721" s="52"/>
      <c r="K721" s="52"/>
    </row>
    <row r="722" ht="15.75" customHeight="1">
      <c r="J722" s="52"/>
      <c r="K722" s="52"/>
    </row>
    <row r="723" ht="15.75" customHeight="1">
      <c r="J723" s="52"/>
      <c r="K723" s="52"/>
    </row>
    <row r="724" ht="15.75" customHeight="1">
      <c r="J724" s="52"/>
      <c r="K724" s="52"/>
    </row>
    <row r="725" ht="15.75" customHeight="1">
      <c r="J725" s="52"/>
      <c r="K725" s="52"/>
    </row>
    <row r="726" ht="15.75" customHeight="1">
      <c r="J726" s="52"/>
      <c r="K726" s="52"/>
    </row>
    <row r="727" ht="15.75" customHeight="1">
      <c r="J727" s="52"/>
      <c r="K727" s="52"/>
    </row>
    <row r="728" ht="15.75" customHeight="1">
      <c r="J728" s="52"/>
      <c r="K728" s="52"/>
    </row>
    <row r="729" ht="15.75" customHeight="1">
      <c r="J729" s="52"/>
      <c r="K729" s="52"/>
    </row>
    <row r="730" ht="15.75" customHeight="1">
      <c r="J730" s="52"/>
      <c r="K730" s="52"/>
    </row>
    <row r="731" ht="15.75" customHeight="1">
      <c r="J731" s="52"/>
      <c r="K731" s="52"/>
    </row>
    <row r="732" ht="15.75" customHeight="1">
      <c r="J732" s="52"/>
      <c r="K732" s="52"/>
    </row>
    <row r="733" ht="15.75" customHeight="1">
      <c r="J733" s="52"/>
      <c r="K733" s="52"/>
    </row>
    <row r="734" ht="15.75" customHeight="1">
      <c r="J734" s="52"/>
      <c r="K734" s="52"/>
    </row>
    <row r="735" ht="15.75" customHeight="1">
      <c r="J735" s="52"/>
      <c r="K735" s="52"/>
    </row>
    <row r="736" ht="15.75" customHeight="1">
      <c r="J736" s="52"/>
      <c r="K736" s="52"/>
    </row>
    <row r="737" ht="15.75" customHeight="1">
      <c r="J737" s="52"/>
      <c r="K737" s="52"/>
    </row>
    <row r="738" ht="15.75" customHeight="1">
      <c r="J738" s="52"/>
      <c r="K738" s="52"/>
    </row>
    <row r="739" ht="15.75" customHeight="1">
      <c r="J739" s="52"/>
      <c r="K739" s="52"/>
    </row>
    <row r="740" ht="15.75" customHeight="1">
      <c r="J740" s="52"/>
      <c r="K740" s="52"/>
    </row>
    <row r="741" ht="15.75" customHeight="1">
      <c r="J741" s="52"/>
      <c r="K741" s="52"/>
    </row>
    <row r="742" ht="15.75" customHeight="1">
      <c r="J742" s="52"/>
      <c r="K742" s="52"/>
    </row>
    <row r="743" ht="15.75" customHeight="1">
      <c r="J743" s="52"/>
      <c r="K743" s="52"/>
    </row>
    <row r="744" ht="15.75" customHeight="1">
      <c r="J744" s="52"/>
      <c r="K744" s="52"/>
    </row>
    <row r="745" ht="15.75" customHeight="1">
      <c r="J745" s="52"/>
      <c r="K745" s="52"/>
    </row>
    <row r="746" ht="15.75" customHeight="1">
      <c r="J746" s="52"/>
      <c r="K746" s="52"/>
    </row>
    <row r="747" ht="15.75" customHeight="1">
      <c r="J747" s="52"/>
      <c r="K747" s="52"/>
    </row>
    <row r="748" ht="15.75" customHeight="1">
      <c r="J748" s="52"/>
      <c r="K748" s="52"/>
    </row>
    <row r="749" ht="15.75" customHeight="1">
      <c r="J749" s="52"/>
      <c r="K749" s="52"/>
    </row>
    <row r="750" ht="15.75" customHeight="1">
      <c r="J750" s="52"/>
      <c r="K750" s="52"/>
    </row>
    <row r="751" ht="15.75" customHeight="1">
      <c r="J751" s="52"/>
      <c r="K751" s="52"/>
    </row>
    <row r="752" ht="15.75" customHeight="1">
      <c r="J752" s="52"/>
      <c r="K752" s="52"/>
    </row>
    <row r="753" ht="15.75" customHeight="1">
      <c r="J753" s="52"/>
      <c r="K753" s="52"/>
    </row>
    <row r="754" ht="15.75" customHeight="1">
      <c r="J754" s="52"/>
      <c r="K754" s="52"/>
    </row>
    <row r="755" ht="15.75" customHeight="1">
      <c r="J755" s="52"/>
      <c r="K755" s="52"/>
    </row>
    <row r="756" ht="15.75" customHeight="1">
      <c r="J756" s="52"/>
      <c r="K756" s="52"/>
    </row>
    <row r="757" ht="15.75" customHeight="1">
      <c r="J757" s="52"/>
      <c r="K757" s="52"/>
    </row>
    <row r="758" ht="15.75" customHeight="1">
      <c r="J758" s="52"/>
      <c r="K758" s="52"/>
    </row>
    <row r="759" ht="15.75" customHeight="1">
      <c r="J759" s="52"/>
      <c r="K759" s="52"/>
    </row>
    <row r="760" ht="15.75" customHeight="1">
      <c r="J760" s="52"/>
      <c r="K760" s="52"/>
    </row>
    <row r="761" ht="15.75" customHeight="1">
      <c r="J761" s="52"/>
      <c r="K761" s="52"/>
    </row>
    <row r="762" ht="15.75" customHeight="1">
      <c r="J762" s="52"/>
      <c r="K762" s="52"/>
    </row>
    <row r="763" ht="15.75" customHeight="1">
      <c r="J763" s="52"/>
      <c r="K763" s="52"/>
    </row>
    <row r="764" ht="15.75" customHeight="1">
      <c r="J764" s="52"/>
      <c r="K764" s="52"/>
    </row>
    <row r="765" ht="15.75" customHeight="1">
      <c r="J765" s="52"/>
      <c r="K765" s="52"/>
    </row>
    <row r="766" ht="15.75" customHeight="1">
      <c r="J766" s="52"/>
      <c r="K766" s="52"/>
    </row>
    <row r="767" ht="15.75" customHeight="1">
      <c r="J767" s="52"/>
      <c r="K767" s="52"/>
    </row>
    <row r="768" ht="15.75" customHeight="1">
      <c r="J768" s="52"/>
      <c r="K768" s="52"/>
    </row>
    <row r="769" ht="15.75" customHeight="1">
      <c r="J769" s="52"/>
      <c r="K769" s="52"/>
    </row>
    <row r="770" ht="15.75" customHeight="1">
      <c r="J770" s="52"/>
      <c r="K770" s="52"/>
    </row>
    <row r="771" ht="15.75" customHeight="1">
      <c r="J771" s="52"/>
      <c r="K771" s="52"/>
    </row>
    <row r="772" ht="15.75" customHeight="1">
      <c r="J772" s="52"/>
      <c r="K772" s="52"/>
    </row>
    <row r="773" ht="15.75" customHeight="1">
      <c r="J773" s="52"/>
      <c r="K773" s="52"/>
    </row>
    <row r="774" ht="15.75" customHeight="1">
      <c r="J774" s="52"/>
      <c r="K774" s="52"/>
    </row>
    <row r="775" ht="15.75" customHeight="1">
      <c r="J775" s="52"/>
      <c r="K775" s="52"/>
    </row>
    <row r="776" ht="15.75" customHeight="1">
      <c r="J776" s="52"/>
      <c r="K776" s="52"/>
    </row>
    <row r="777" ht="15.75" customHeight="1">
      <c r="J777" s="52"/>
      <c r="K777" s="52"/>
    </row>
    <row r="778" ht="15.75" customHeight="1">
      <c r="J778" s="52"/>
      <c r="K778" s="52"/>
    </row>
    <row r="779" ht="15.75" customHeight="1">
      <c r="J779" s="52"/>
      <c r="K779" s="52"/>
    </row>
    <row r="780" ht="15.75" customHeight="1">
      <c r="J780" s="52"/>
      <c r="K780" s="52"/>
    </row>
    <row r="781" ht="15.75" customHeight="1">
      <c r="J781" s="52"/>
      <c r="K781" s="52"/>
    </row>
    <row r="782" ht="15.75" customHeight="1">
      <c r="J782" s="52"/>
      <c r="K782" s="52"/>
    </row>
    <row r="783" ht="15.75" customHeight="1">
      <c r="J783" s="52"/>
      <c r="K783" s="52"/>
    </row>
    <row r="784" ht="15.75" customHeight="1">
      <c r="J784" s="52"/>
      <c r="K784" s="52"/>
    </row>
    <row r="785" ht="15.75" customHeight="1">
      <c r="J785" s="52"/>
      <c r="K785" s="52"/>
    </row>
    <row r="786" ht="15.75" customHeight="1">
      <c r="J786" s="52"/>
      <c r="K786" s="52"/>
    </row>
    <row r="787" ht="15.75" customHeight="1">
      <c r="J787" s="52"/>
      <c r="K787" s="52"/>
    </row>
    <row r="788" ht="15.75" customHeight="1">
      <c r="J788" s="52"/>
      <c r="K788" s="52"/>
    </row>
    <row r="789" ht="15.75" customHeight="1">
      <c r="J789" s="52"/>
      <c r="K789" s="52"/>
    </row>
    <row r="790" ht="15.75" customHeight="1">
      <c r="J790" s="52"/>
      <c r="K790" s="52"/>
    </row>
    <row r="791" ht="15.75" customHeight="1">
      <c r="J791" s="52"/>
      <c r="K791" s="52"/>
    </row>
    <row r="792" ht="15.75" customHeight="1">
      <c r="J792" s="52"/>
      <c r="K792" s="52"/>
    </row>
    <row r="793" ht="15.75" customHeight="1">
      <c r="J793" s="52"/>
      <c r="K793" s="52"/>
    </row>
    <row r="794" ht="15.75" customHeight="1">
      <c r="J794" s="52"/>
      <c r="K794" s="52"/>
    </row>
    <row r="795" ht="15.75" customHeight="1">
      <c r="J795" s="52"/>
      <c r="K795" s="52"/>
    </row>
    <row r="796" ht="15.75" customHeight="1">
      <c r="J796" s="52"/>
      <c r="K796" s="52"/>
    </row>
    <row r="797" ht="15.75" customHeight="1">
      <c r="J797" s="52"/>
      <c r="K797" s="52"/>
    </row>
    <row r="798" ht="15.75" customHeight="1">
      <c r="J798" s="52"/>
      <c r="K798" s="52"/>
    </row>
    <row r="799" ht="15.75" customHeight="1">
      <c r="J799" s="52"/>
      <c r="K799" s="52"/>
    </row>
    <row r="800" ht="15.75" customHeight="1">
      <c r="J800" s="52"/>
      <c r="K800" s="52"/>
    </row>
    <row r="801" ht="15.75" customHeight="1">
      <c r="J801" s="52"/>
      <c r="K801" s="52"/>
    </row>
    <row r="802" ht="15.75" customHeight="1">
      <c r="J802" s="52"/>
      <c r="K802" s="52"/>
    </row>
    <row r="803" ht="15.75" customHeight="1">
      <c r="J803" s="52"/>
      <c r="K803" s="52"/>
    </row>
    <row r="804" ht="15.75" customHeight="1">
      <c r="J804" s="52"/>
      <c r="K804" s="52"/>
    </row>
    <row r="805" ht="15.75" customHeight="1">
      <c r="J805" s="52"/>
      <c r="K805" s="52"/>
    </row>
    <row r="806" ht="15.75" customHeight="1">
      <c r="J806" s="52"/>
      <c r="K806" s="52"/>
    </row>
    <row r="807" ht="15.75" customHeight="1">
      <c r="J807" s="52"/>
      <c r="K807" s="52"/>
    </row>
    <row r="808" ht="15.75" customHeight="1">
      <c r="J808" s="52"/>
      <c r="K808" s="52"/>
    </row>
    <row r="809" ht="15.75" customHeight="1">
      <c r="J809" s="52"/>
      <c r="K809" s="52"/>
    </row>
    <row r="810" ht="15.75" customHeight="1">
      <c r="J810" s="52"/>
      <c r="K810" s="52"/>
    </row>
    <row r="811" ht="15.75" customHeight="1">
      <c r="J811" s="52"/>
      <c r="K811" s="52"/>
    </row>
    <row r="812" ht="15.75" customHeight="1">
      <c r="J812" s="52"/>
      <c r="K812" s="52"/>
    </row>
    <row r="813" ht="15.75" customHeight="1">
      <c r="J813" s="52"/>
      <c r="K813" s="52"/>
    </row>
    <row r="814" ht="15.75" customHeight="1">
      <c r="J814" s="52"/>
      <c r="K814" s="52"/>
    </row>
    <row r="815" ht="15.75" customHeight="1">
      <c r="J815" s="52"/>
      <c r="K815" s="52"/>
    </row>
    <row r="816" ht="15.75" customHeight="1">
      <c r="J816" s="52"/>
      <c r="K816" s="52"/>
    </row>
    <row r="817" ht="15.75" customHeight="1">
      <c r="J817" s="52"/>
      <c r="K817" s="52"/>
    </row>
    <row r="818" ht="15.75" customHeight="1">
      <c r="J818" s="52"/>
      <c r="K818" s="52"/>
    </row>
    <row r="819" ht="15.75" customHeight="1">
      <c r="J819" s="52"/>
      <c r="K819" s="52"/>
    </row>
    <row r="820" ht="15.75" customHeight="1">
      <c r="J820" s="52"/>
      <c r="K820" s="52"/>
    </row>
    <row r="821" ht="15.75" customHeight="1">
      <c r="J821" s="52"/>
      <c r="K821" s="52"/>
    </row>
    <row r="822" ht="15.75" customHeight="1">
      <c r="J822" s="52"/>
      <c r="K822" s="52"/>
    </row>
    <row r="823" ht="15.75" customHeight="1">
      <c r="J823" s="52"/>
      <c r="K823" s="52"/>
    </row>
    <row r="824" ht="15.75" customHeight="1">
      <c r="J824" s="52"/>
      <c r="K824" s="52"/>
    </row>
    <row r="825" ht="15.75" customHeight="1">
      <c r="J825" s="52"/>
      <c r="K825" s="52"/>
    </row>
    <row r="826" ht="15.75" customHeight="1">
      <c r="J826" s="52"/>
      <c r="K826" s="52"/>
    </row>
    <row r="827" ht="15.75" customHeight="1">
      <c r="J827" s="52"/>
      <c r="K827" s="52"/>
    </row>
    <row r="828" ht="15.75" customHeight="1">
      <c r="J828" s="52"/>
      <c r="K828" s="52"/>
    </row>
    <row r="829" ht="15.75" customHeight="1">
      <c r="J829" s="52"/>
      <c r="K829" s="52"/>
    </row>
    <row r="830" ht="15.75" customHeight="1">
      <c r="J830" s="52"/>
      <c r="K830" s="52"/>
    </row>
    <row r="831" ht="15.75" customHeight="1">
      <c r="J831" s="52"/>
      <c r="K831" s="52"/>
    </row>
    <row r="832" ht="15.75" customHeight="1">
      <c r="J832" s="52"/>
      <c r="K832" s="52"/>
    </row>
    <row r="833" ht="15.75" customHeight="1">
      <c r="J833" s="52"/>
      <c r="K833" s="52"/>
    </row>
    <row r="834" ht="15.75" customHeight="1">
      <c r="J834" s="52"/>
      <c r="K834" s="52"/>
    </row>
    <row r="835" ht="15.75" customHeight="1">
      <c r="J835" s="52"/>
      <c r="K835" s="52"/>
    </row>
    <row r="836" ht="15.75" customHeight="1">
      <c r="J836" s="52"/>
      <c r="K836" s="52"/>
    </row>
    <row r="837" ht="15.75" customHeight="1">
      <c r="J837" s="52"/>
      <c r="K837" s="52"/>
    </row>
    <row r="838" ht="15.75" customHeight="1">
      <c r="J838" s="52"/>
      <c r="K838" s="52"/>
    </row>
    <row r="839" ht="15.75" customHeight="1">
      <c r="J839" s="52"/>
      <c r="K839" s="52"/>
    </row>
    <row r="840" ht="15.75" customHeight="1">
      <c r="J840" s="52"/>
      <c r="K840" s="52"/>
    </row>
    <row r="841" ht="15.75" customHeight="1">
      <c r="J841" s="52"/>
      <c r="K841" s="52"/>
    </row>
    <row r="842" ht="15.75" customHeight="1">
      <c r="J842" s="52"/>
      <c r="K842" s="52"/>
    </row>
    <row r="843" ht="15.75" customHeight="1">
      <c r="J843" s="52"/>
      <c r="K843" s="52"/>
    </row>
    <row r="844" ht="15.75" customHeight="1">
      <c r="J844" s="52"/>
      <c r="K844" s="52"/>
    </row>
    <row r="845" ht="15.75" customHeight="1">
      <c r="J845" s="52"/>
      <c r="K845" s="52"/>
    </row>
    <row r="846" ht="15.75" customHeight="1">
      <c r="J846" s="52"/>
      <c r="K846" s="52"/>
    </row>
    <row r="847" ht="15.75" customHeight="1">
      <c r="J847" s="52"/>
      <c r="K847" s="52"/>
    </row>
    <row r="848" ht="15.75" customHeight="1">
      <c r="J848" s="52"/>
      <c r="K848" s="52"/>
    </row>
    <row r="849" ht="15.75" customHeight="1">
      <c r="J849" s="52"/>
      <c r="K849" s="52"/>
    </row>
    <row r="850" ht="15.75" customHeight="1">
      <c r="J850" s="52"/>
      <c r="K850" s="52"/>
    </row>
    <row r="851" ht="15.75" customHeight="1">
      <c r="J851" s="52"/>
      <c r="K851" s="52"/>
    </row>
    <row r="852" ht="15.75" customHeight="1">
      <c r="J852" s="52"/>
      <c r="K852" s="52"/>
    </row>
    <row r="853" ht="15.75" customHeight="1">
      <c r="J853" s="52"/>
      <c r="K853" s="52"/>
    </row>
    <row r="854" ht="15.75" customHeight="1">
      <c r="J854" s="52"/>
      <c r="K854" s="52"/>
    </row>
    <row r="855" ht="15.75" customHeight="1">
      <c r="J855" s="52"/>
      <c r="K855" s="52"/>
    </row>
    <row r="856" ht="15.75" customHeight="1">
      <c r="J856" s="52"/>
      <c r="K856" s="52"/>
    </row>
    <row r="857" ht="15.75" customHeight="1">
      <c r="J857" s="52"/>
      <c r="K857" s="52"/>
    </row>
    <row r="858" ht="15.75" customHeight="1">
      <c r="J858" s="52"/>
      <c r="K858" s="52"/>
    </row>
    <row r="859" ht="15.75" customHeight="1">
      <c r="J859" s="52"/>
      <c r="K859" s="52"/>
    </row>
    <row r="860" ht="15.75" customHeight="1">
      <c r="J860" s="52"/>
      <c r="K860" s="52"/>
    </row>
    <row r="861" ht="15.75" customHeight="1">
      <c r="J861" s="52"/>
      <c r="K861" s="52"/>
    </row>
    <row r="862" ht="15.75" customHeight="1">
      <c r="J862" s="52"/>
      <c r="K862" s="52"/>
    </row>
    <row r="863" ht="15.75" customHeight="1">
      <c r="J863" s="52"/>
      <c r="K863" s="52"/>
    </row>
    <row r="864" ht="15.75" customHeight="1">
      <c r="J864" s="52"/>
      <c r="K864" s="52"/>
    </row>
    <row r="865" ht="15.75" customHeight="1">
      <c r="J865" s="52"/>
      <c r="K865" s="52"/>
    </row>
    <row r="866" ht="15.75" customHeight="1">
      <c r="J866" s="52"/>
      <c r="K866" s="52"/>
    </row>
    <row r="867" ht="15.75" customHeight="1">
      <c r="J867" s="52"/>
      <c r="K867" s="52"/>
    </row>
    <row r="868" ht="15.75" customHeight="1">
      <c r="J868" s="52"/>
      <c r="K868" s="52"/>
    </row>
    <row r="869" ht="15.75" customHeight="1">
      <c r="J869" s="52"/>
      <c r="K869" s="52"/>
    </row>
    <row r="870" ht="15.75" customHeight="1">
      <c r="J870" s="52"/>
      <c r="K870" s="52"/>
    </row>
    <row r="871" ht="15.75" customHeight="1">
      <c r="J871" s="52"/>
      <c r="K871" s="52"/>
    </row>
    <row r="872" ht="15.75" customHeight="1">
      <c r="J872" s="52"/>
      <c r="K872" s="52"/>
    </row>
    <row r="873" ht="15.75" customHeight="1">
      <c r="J873" s="52"/>
      <c r="K873" s="52"/>
    </row>
    <row r="874" ht="15.75" customHeight="1">
      <c r="J874" s="52"/>
      <c r="K874" s="52"/>
    </row>
    <row r="875" ht="15.75" customHeight="1">
      <c r="J875" s="52"/>
      <c r="K875" s="52"/>
    </row>
    <row r="876" ht="15.75" customHeight="1">
      <c r="J876" s="52"/>
      <c r="K876" s="52"/>
    </row>
    <row r="877" ht="15.75" customHeight="1">
      <c r="J877" s="52"/>
      <c r="K877" s="52"/>
    </row>
    <row r="878" ht="15.75" customHeight="1">
      <c r="J878" s="52"/>
      <c r="K878" s="52"/>
    </row>
    <row r="879" ht="15.75" customHeight="1">
      <c r="J879" s="52"/>
      <c r="K879" s="52"/>
    </row>
    <row r="880" ht="15.75" customHeight="1">
      <c r="J880" s="52"/>
      <c r="K880" s="52"/>
    </row>
    <row r="881" ht="15.75" customHeight="1">
      <c r="J881" s="52"/>
      <c r="K881" s="52"/>
    </row>
    <row r="882" ht="15.75" customHeight="1">
      <c r="J882" s="52"/>
      <c r="K882" s="52"/>
    </row>
    <row r="883" ht="15.75" customHeight="1">
      <c r="J883" s="52"/>
      <c r="K883" s="52"/>
    </row>
    <row r="884" ht="15.75" customHeight="1">
      <c r="J884" s="52"/>
      <c r="K884" s="52"/>
    </row>
    <row r="885" ht="15.75" customHeight="1">
      <c r="J885" s="52"/>
      <c r="K885" s="52"/>
    </row>
    <row r="886" ht="15.75" customHeight="1">
      <c r="J886" s="52"/>
      <c r="K886" s="52"/>
    </row>
    <row r="887" ht="15.75" customHeight="1">
      <c r="J887" s="52"/>
      <c r="K887" s="52"/>
    </row>
    <row r="888" ht="15.75" customHeight="1">
      <c r="J888" s="52"/>
      <c r="K888" s="52"/>
    </row>
    <row r="889" ht="15.75" customHeight="1">
      <c r="J889" s="52"/>
      <c r="K889" s="52"/>
    </row>
    <row r="890" ht="15.75" customHeight="1">
      <c r="J890" s="52"/>
      <c r="K890" s="52"/>
    </row>
    <row r="891" ht="15.75" customHeight="1">
      <c r="J891" s="52"/>
      <c r="K891" s="52"/>
    </row>
    <row r="892" ht="15.75" customHeight="1">
      <c r="J892" s="52"/>
      <c r="K892" s="52"/>
    </row>
    <row r="893" ht="15.75" customHeight="1">
      <c r="J893" s="52"/>
      <c r="K893" s="52"/>
    </row>
    <row r="894" ht="15.75" customHeight="1">
      <c r="J894" s="52"/>
      <c r="K894" s="52"/>
    </row>
    <row r="895" ht="15.75" customHeight="1">
      <c r="J895" s="52"/>
      <c r="K895" s="52"/>
    </row>
    <row r="896" ht="15.75" customHeight="1">
      <c r="J896" s="52"/>
      <c r="K896" s="52"/>
    </row>
    <row r="897" ht="15.75" customHeight="1">
      <c r="J897" s="52"/>
      <c r="K897" s="52"/>
    </row>
    <row r="898" ht="15.75" customHeight="1">
      <c r="J898" s="52"/>
      <c r="K898" s="52"/>
    </row>
    <row r="899" ht="15.75" customHeight="1">
      <c r="J899" s="52"/>
      <c r="K899" s="52"/>
    </row>
    <row r="900" ht="15.75" customHeight="1">
      <c r="J900" s="52"/>
      <c r="K900" s="52"/>
    </row>
    <row r="901" ht="15.75" customHeight="1">
      <c r="J901" s="52"/>
      <c r="K901" s="52"/>
    </row>
    <row r="902" ht="15.75" customHeight="1">
      <c r="J902" s="52"/>
      <c r="K902" s="52"/>
    </row>
    <row r="903" ht="15.75" customHeight="1">
      <c r="J903" s="52"/>
      <c r="K903" s="52"/>
    </row>
    <row r="904" ht="15.75" customHeight="1">
      <c r="J904" s="52"/>
      <c r="K904" s="52"/>
    </row>
    <row r="905" ht="15.75" customHeight="1">
      <c r="J905" s="52"/>
      <c r="K905" s="52"/>
    </row>
    <row r="906" ht="15.75" customHeight="1">
      <c r="J906" s="52"/>
      <c r="K906" s="52"/>
    </row>
    <row r="907" ht="15.75" customHeight="1">
      <c r="J907" s="52"/>
      <c r="K907" s="52"/>
    </row>
    <row r="908" ht="15.75" customHeight="1">
      <c r="J908" s="52"/>
      <c r="K908" s="52"/>
    </row>
    <row r="909" ht="15.75" customHeight="1">
      <c r="J909" s="52"/>
      <c r="K909" s="52"/>
    </row>
    <row r="910" ht="15.75" customHeight="1">
      <c r="J910" s="52"/>
      <c r="K910" s="52"/>
    </row>
    <row r="911" ht="15.75" customHeight="1">
      <c r="J911" s="52"/>
      <c r="K911" s="52"/>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9.43"/>
    <col customWidth="1" min="5" max="5" width="21.57"/>
    <col customWidth="1" min="6" max="6" width="31.71"/>
    <col customWidth="1" min="7" max="7" width="17.71"/>
    <col customWidth="1" min="8" max="8" width="19.43"/>
    <col customWidth="1" min="9" max="9" width="14.14"/>
    <col customWidth="1" min="10" max="10" width="12.29"/>
    <col customWidth="1" min="11" max="11" width="15.86"/>
    <col customWidth="1" min="12" max="12" width="11.57"/>
    <col customWidth="1" min="13" max="13" width="13.57"/>
    <col customWidth="1" min="14" max="14" width="21.14"/>
    <col customWidth="1" min="15" max="15" width="17.0"/>
    <col customWidth="1" min="16" max="16" width="11.14"/>
    <col customWidth="1" min="17" max="17" width="10.71"/>
    <col customWidth="1" min="18" max="18" width="15.71"/>
    <col customWidth="1" min="19" max="26" width="8.71"/>
  </cols>
  <sheetData>
    <row r="1">
      <c r="A1" s="7" t="s">
        <v>2</v>
      </c>
      <c r="E1" s="7" t="s">
        <v>3</v>
      </c>
    </row>
    <row r="2">
      <c r="D2" s="7" t="s">
        <v>4</v>
      </c>
      <c r="E2" s="7" t="s">
        <v>5</v>
      </c>
      <c r="I2" s="7"/>
      <c r="J2" s="7"/>
    </row>
    <row r="3">
      <c r="D3" s="7" t="s">
        <v>7</v>
      </c>
      <c r="E3" s="7" t="s">
        <v>8</v>
      </c>
      <c r="J3" s="7"/>
    </row>
    <row r="4">
      <c r="D4" s="7" t="s">
        <v>9</v>
      </c>
      <c r="E4" s="7" t="s">
        <v>10</v>
      </c>
      <c r="I4" s="7"/>
      <c r="J4" s="7"/>
    </row>
    <row r="5">
      <c r="D5" s="7" t="s">
        <v>11</v>
      </c>
      <c r="E5" s="7" t="s">
        <v>12</v>
      </c>
      <c r="I5" s="7"/>
      <c r="J5" s="7"/>
    </row>
    <row r="6">
      <c r="D6" s="7" t="s">
        <v>14</v>
      </c>
      <c r="E6" s="7" t="s">
        <v>15</v>
      </c>
      <c r="I6" s="7"/>
      <c r="J6" s="7"/>
    </row>
    <row r="7">
      <c r="D7" s="7" t="s">
        <v>16</v>
      </c>
      <c r="E7" s="7" t="s">
        <v>17</v>
      </c>
      <c r="I7" s="7"/>
      <c r="J7" s="7"/>
    </row>
    <row r="8">
      <c r="D8" s="7" t="s">
        <v>19</v>
      </c>
      <c r="E8" s="7" t="s">
        <v>20</v>
      </c>
      <c r="I8" s="7" t="s">
        <v>21</v>
      </c>
      <c r="J8" s="7" t="s">
        <v>22</v>
      </c>
    </row>
    <row r="9">
      <c r="I9" s="7" t="s">
        <v>23</v>
      </c>
      <c r="J9" s="7" t="s">
        <v>22</v>
      </c>
    </row>
    <row r="10">
      <c r="I10" s="7" t="s">
        <v>24</v>
      </c>
      <c r="J10" s="7" t="s">
        <v>22</v>
      </c>
    </row>
    <row r="12">
      <c r="A12" s="7" t="s">
        <v>26</v>
      </c>
      <c r="D12" s="99" t="s">
        <v>1195</v>
      </c>
      <c r="E12" s="26"/>
      <c r="F12" s="28"/>
      <c r="G12" s="101" t="s">
        <v>1201</v>
      </c>
      <c r="H12" s="26"/>
      <c r="I12" s="28"/>
      <c r="J12" s="29" t="s">
        <v>1204</v>
      </c>
      <c r="K12" s="26"/>
      <c r="L12" s="28"/>
    </row>
    <row r="13">
      <c r="D13" s="45" t="s">
        <v>46</v>
      </c>
      <c r="E13" s="46" t="s">
        <v>49</v>
      </c>
      <c r="F13" s="51" t="s">
        <v>54</v>
      </c>
      <c r="G13" s="45" t="s">
        <v>46</v>
      </c>
      <c r="H13" s="46" t="s">
        <v>49</v>
      </c>
      <c r="I13" s="51" t="s">
        <v>54</v>
      </c>
      <c r="J13" s="45" t="s">
        <v>46</v>
      </c>
      <c r="K13" s="46" t="s">
        <v>49</v>
      </c>
      <c r="L13" s="51" t="s">
        <v>54</v>
      </c>
    </row>
    <row r="14">
      <c r="B14" s="68" t="s">
        <v>4</v>
      </c>
      <c r="C14" s="72" t="s">
        <v>86</v>
      </c>
      <c r="D14" s="92" t="s">
        <v>89</v>
      </c>
      <c r="E14" s="96" t="s">
        <v>99</v>
      </c>
      <c r="F14" s="97" t="s">
        <v>100</v>
      </c>
      <c r="G14" s="96" t="s">
        <v>1215</v>
      </c>
      <c r="H14" s="96" t="s">
        <v>1216</v>
      </c>
      <c r="I14" s="229"/>
      <c r="J14" s="92" t="s">
        <v>1217</v>
      </c>
      <c r="K14" s="96" t="s">
        <v>1217</v>
      </c>
      <c r="L14" s="97" t="s">
        <v>1217</v>
      </c>
    </row>
    <row r="15">
      <c r="B15" s="98"/>
    </row>
    <row r="16">
      <c r="B16" s="98"/>
    </row>
    <row r="17">
      <c r="B17" s="98"/>
    </row>
    <row r="18">
      <c r="A18" s="7" t="s">
        <v>321</v>
      </c>
      <c r="D18" s="99" t="s">
        <v>105</v>
      </c>
      <c r="E18" s="26"/>
      <c r="F18" s="100"/>
      <c r="G18" s="101" t="s">
        <v>106</v>
      </c>
      <c r="H18" s="26"/>
      <c r="I18" s="100"/>
      <c r="J18" s="29" t="s">
        <v>107</v>
      </c>
      <c r="K18" s="26"/>
      <c r="L18" s="100"/>
      <c r="M18" s="30" t="s">
        <v>108</v>
      </c>
      <c r="N18" s="26"/>
      <c r="O18" s="100"/>
      <c r="P18" s="31" t="s">
        <v>109</v>
      </c>
      <c r="Q18" s="26"/>
      <c r="R18" s="28"/>
    </row>
    <row r="19">
      <c r="D19" s="45" t="s">
        <v>46</v>
      </c>
      <c r="E19" s="46" t="s">
        <v>49</v>
      </c>
      <c r="F19" s="102" t="s">
        <v>54</v>
      </c>
      <c r="G19" s="45" t="s">
        <v>46</v>
      </c>
      <c r="H19" s="46" t="s">
        <v>49</v>
      </c>
      <c r="I19" s="102" t="s">
        <v>54</v>
      </c>
      <c r="J19" s="45" t="s">
        <v>46</v>
      </c>
      <c r="K19" s="46" t="s">
        <v>49</v>
      </c>
      <c r="L19" s="102" t="s">
        <v>54</v>
      </c>
      <c r="M19" s="45" t="s">
        <v>46</v>
      </c>
      <c r="N19" s="46" t="s">
        <v>49</v>
      </c>
      <c r="O19" s="102" t="s">
        <v>54</v>
      </c>
      <c r="P19" s="103" t="s">
        <v>46</v>
      </c>
      <c r="Q19" s="104" t="s">
        <v>49</v>
      </c>
      <c r="R19" s="105" t="s">
        <v>54</v>
      </c>
    </row>
    <row r="20">
      <c r="B20" s="106" t="s">
        <v>7</v>
      </c>
      <c r="C20" s="107" t="s">
        <v>110</v>
      </c>
      <c r="D20" s="108" t="s">
        <v>327</v>
      </c>
      <c r="E20" s="109" t="s">
        <v>328</v>
      </c>
      <c r="F20" s="120" t="s">
        <v>112</v>
      </c>
      <c r="G20" s="122" t="s">
        <v>329</v>
      </c>
      <c r="H20" s="109" t="s">
        <v>1236</v>
      </c>
      <c r="I20" s="120" t="s">
        <v>112</v>
      </c>
      <c r="J20" s="122" t="s">
        <v>1236</v>
      </c>
      <c r="K20" s="109" t="s">
        <v>327</v>
      </c>
      <c r="L20" s="125" t="s">
        <v>112</v>
      </c>
      <c r="M20" s="122" t="s">
        <v>327</v>
      </c>
      <c r="N20" s="109" t="s">
        <v>327</v>
      </c>
      <c r="O20" s="120" t="s">
        <v>112</v>
      </c>
      <c r="P20" s="122" t="s">
        <v>327</v>
      </c>
      <c r="Q20" s="109" t="s">
        <v>327</v>
      </c>
      <c r="R20" s="127" t="s">
        <v>112</v>
      </c>
    </row>
    <row r="21">
      <c r="B21" s="129"/>
      <c r="C21" s="165" t="s">
        <v>189</v>
      </c>
      <c r="D21" s="167" t="s">
        <v>399</v>
      </c>
      <c r="E21" s="168" t="s">
        <v>84</v>
      </c>
      <c r="F21" s="169"/>
      <c r="G21" s="122" t="s">
        <v>84</v>
      </c>
      <c r="H21" s="168" t="s">
        <v>84</v>
      </c>
      <c r="I21" s="169"/>
      <c r="J21" s="122" t="s">
        <v>84</v>
      </c>
      <c r="K21" s="168" t="s">
        <v>399</v>
      </c>
      <c r="L21" s="169"/>
      <c r="M21" s="122" t="s">
        <v>1253</v>
      </c>
      <c r="N21" s="168" t="s">
        <v>410</v>
      </c>
      <c r="O21" s="169"/>
      <c r="P21" s="122" t="s">
        <v>435</v>
      </c>
      <c r="Q21" s="168" t="s">
        <v>1256</v>
      </c>
      <c r="R21" s="171"/>
    </row>
    <row r="22">
      <c r="B22" s="129"/>
      <c r="C22" s="165" t="s">
        <v>306</v>
      </c>
      <c r="D22" s="174" t="s">
        <v>438</v>
      </c>
      <c r="E22" s="168" t="s">
        <v>242</v>
      </c>
      <c r="F22" s="176" t="s">
        <v>307</v>
      </c>
      <c r="G22" s="167" t="s">
        <v>1264</v>
      </c>
      <c r="H22" s="168" t="s">
        <v>1266</v>
      </c>
      <c r="I22" s="169"/>
      <c r="J22" s="167" t="s">
        <v>1266</v>
      </c>
      <c r="K22" s="178" t="s">
        <v>438</v>
      </c>
      <c r="L22" s="169"/>
      <c r="M22" s="174" t="s">
        <v>438</v>
      </c>
      <c r="N22" s="178" t="s">
        <v>438</v>
      </c>
      <c r="O22" s="169"/>
      <c r="P22" s="174" t="s">
        <v>438</v>
      </c>
      <c r="Q22" s="178" t="s">
        <v>438</v>
      </c>
      <c r="R22" s="171"/>
    </row>
    <row r="23" ht="70.5" customHeight="1">
      <c r="B23" s="181"/>
      <c r="C23" s="182" t="s">
        <v>86</v>
      </c>
      <c r="D23" s="92" t="s">
        <v>310</v>
      </c>
      <c r="E23" s="183"/>
      <c r="F23" s="184" t="s">
        <v>1279</v>
      </c>
      <c r="G23" s="224" t="s">
        <v>1280</v>
      </c>
      <c r="H23" s="183"/>
      <c r="I23" s="184" t="s">
        <v>312</v>
      </c>
      <c r="J23" s="224" t="s">
        <v>1280</v>
      </c>
      <c r="K23" s="183"/>
      <c r="L23" s="184" t="s">
        <v>312</v>
      </c>
      <c r="M23" s="224" t="s">
        <v>1282</v>
      </c>
      <c r="N23" s="183"/>
      <c r="O23" s="184" t="s">
        <v>312</v>
      </c>
      <c r="P23" s="224"/>
      <c r="Q23" s="96" t="s">
        <v>1286</v>
      </c>
      <c r="R23" s="97" t="s">
        <v>312</v>
      </c>
    </row>
    <row r="24">
      <c r="D24" s="7" t="s">
        <v>503</v>
      </c>
      <c r="F24" s="117" t="s">
        <v>1288</v>
      </c>
      <c r="G24" s="7" t="s">
        <v>505</v>
      </c>
      <c r="I24" s="52"/>
      <c r="J24" s="7" t="s">
        <v>1290</v>
      </c>
      <c r="L24" s="52"/>
      <c r="M24" s="7" t="s">
        <v>1292</v>
      </c>
      <c r="O24" s="52"/>
      <c r="P24" s="7" t="s">
        <v>1294</v>
      </c>
      <c r="R24" s="52"/>
    </row>
    <row r="26" ht="15.75" customHeight="1">
      <c r="D26" s="7" t="s">
        <v>1297</v>
      </c>
    </row>
    <row r="27" ht="15.75" customHeight="1"/>
    <row r="28" ht="15.75" customHeight="1">
      <c r="D28" s="99" t="s">
        <v>314</v>
      </c>
      <c r="E28" s="26"/>
      <c r="F28" s="100"/>
      <c r="G28" s="101" t="s">
        <v>315</v>
      </c>
      <c r="H28" s="26"/>
      <c r="I28" s="100"/>
      <c r="J28" s="29" t="s">
        <v>316</v>
      </c>
      <c r="K28" s="26"/>
      <c r="L28" s="100"/>
      <c r="M28" s="30" t="s">
        <v>317</v>
      </c>
      <c r="N28" s="26"/>
      <c r="O28" s="100"/>
      <c r="P28" s="31" t="s">
        <v>318</v>
      </c>
      <c r="Q28" s="26"/>
      <c r="R28" s="28"/>
    </row>
    <row r="29" ht="15.75" customHeight="1">
      <c r="D29" s="45" t="s">
        <v>46</v>
      </c>
      <c r="E29" s="46" t="s">
        <v>49</v>
      </c>
      <c r="F29" s="102" t="s">
        <v>54</v>
      </c>
      <c r="G29" s="45" t="s">
        <v>46</v>
      </c>
      <c r="H29" s="46" t="s">
        <v>49</v>
      </c>
      <c r="I29" s="102" t="s">
        <v>54</v>
      </c>
      <c r="J29" s="45" t="s">
        <v>46</v>
      </c>
      <c r="K29" s="46" t="s">
        <v>49</v>
      </c>
      <c r="L29" s="102" t="s">
        <v>54</v>
      </c>
      <c r="M29" s="45" t="s">
        <v>46</v>
      </c>
      <c r="N29" s="46" t="s">
        <v>49</v>
      </c>
      <c r="O29" s="102" t="s">
        <v>54</v>
      </c>
      <c r="P29" s="103" t="s">
        <v>46</v>
      </c>
      <c r="Q29" s="104" t="s">
        <v>49</v>
      </c>
      <c r="R29" s="105" t="s">
        <v>54</v>
      </c>
    </row>
    <row r="30" ht="15.75" customHeight="1">
      <c r="B30" s="185" t="s">
        <v>9</v>
      </c>
      <c r="C30" s="107" t="s">
        <v>110</v>
      </c>
      <c r="D30" s="108" t="s">
        <v>327</v>
      </c>
      <c r="E30" s="206" t="s">
        <v>327</v>
      </c>
      <c r="F30" s="120" t="s">
        <v>112</v>
      </c>
      <c r="G30" s="122" t="s">
        <v>327</v>
      </c>
      <c r="H30" s="109" t="s">
        <v>327</v>
      </c>
      <c r="I30" s="120" t="s">
        <v>112</v>
      </c>
      <c r="J30" s="122" t="s">
        <v>327</v>
      </c>
      <c r="K30" s="109" t="s">
        <v>327</v>
      </c>
      <c r="L30" s="125" t="s">
        <v>112</v>
      </c>
      <c r="M30" s="122" t="s">
        <v>1317</v>
      </c>
      <c r="N30" s="109" t="s">
        <v>1317</v>
      </c>
      <c r="O30" s="120" t="s">
        <v>112</v>
      </c>
      <c r="P30" s="122" t="s">
        <v>1320</v>
      </c>
      <c r="Q30" s="109" t="s">
        <v>1320</v>
      </c>
      <c r="R30" s="127" t="s">
        <v>112</v>
      </c>
    </row>
    <row r="31" ht="15.75" customHeight="1">
      <c r="B31" s="129"/>
      <c r="C31" s="165" t="s">
        <v>189</v>
      </c>
      <c r="D31" s="167" t="s">
        <v>436</v>
      </c>
      <c r="E31" s="191" t="s">
        <v>437</v>
      </c>
      <c r="F31" s="169"/>
      <c r="G31" s="122" t="s">
        <v>688</v>
      </c>
      <c r="H31" s="168" t="s">
        <v>688</v>
      </c>
      <c r="I31" s="169"/>
      <c r="J31" s="122" t="s">
        <v>1324</v>
      </c>
      <c r="K31" s="168" t="s">
        <v>1324</v>
      </c>
      <c r="L31" s="169"/>
      <c r="M31" s="122" t="s">
        <v>1326</v>
      </c>
      <c r="N31" s="168" t="s">
        <v>1326</v>
      </c>
      <c r="O31" s="169"/>
      <c r="P31" s="122" t="s">
        <v>1327</v>
      </c>
      <c r="Q31" s="168" t="s">
        <v>1327</v>
      </c>
      <c r="R31" s="171"/>
    </row>
    <row r="32" ht="15.75" customHeight="1">
      <c r="B32" s="129"/>
      <c r="C32" s="165" t="s">
        <v>306</v>
      </c>
      <c r="D32" s="174" t="s">
        <v>438</v>
      </c>
      <c r="E32" s="219" t="s">
        <v>438</v>
      </c>
      <c r="F32" s="176" t="s">
        <v>307</v>
      </c>
      <c r="G32" s="167" t="s">
        <v>1330</v>
      </c>
      <c r="H32" s="168" t="s">
        <v>1332</v>
      </c>
      <c r="I32" s="176" t="s">
        <v>307</v>
      </c>
      <c r="J32" s="167" t="s">
        <v>1330</v>
      </c>
      <c r="K32" s="168" t="s">
        <v>1332</v>
      </c>
      <c r="L32" s="176" t="s">
        <v>307</v>
      </c>
      <c r="M32" s="174" t="s">
        <v>438</v>
      </c>
      <c r="N32" s="178" t="s">
        <v>438</v>
      </c>
      <c r="O32" s="176" t="s">
        <v>307</v>
      </c>
      <c r="P32" s="174"/>
      <c r="Q32" s="178"/>
      <c r="R32" s="302" t="s">
        <v>307</v>
      </c>
    </row>
    <row r="33" ht="15.75" customHeight="1">
      <c r="B33" s="181"/>
      <c r="C33" s="182" t="s">
        <v>86</v>
      </c>
      <c r="D33" s="92" t="s">
        <v>494</v>
      </c>
      <c r="E33" s="96"/>
      <c r="F33" s="252" t="s">
        <v>312</v>
      </c>
      <c r="G33" s="224" t="s">
        <v>719</v>
      </c>
      <c r="H33" s="183"/>
      <c r="I33" s="225"/>
      <c r="J33" s="224" t="s">
        <v>719</v>
      </c>
      <c r="K33" s="183"/>
      <c r="L33" s="225"/>
      <c r="M33" s="224" t="s">
        <v>494</v>
      </c>
      <c r="N33" s="183"/>
      <c r="O33" s="225"/>
      <c r="P33" s="224" t="s">
        <v>494</v>
      </c>
      <c r="Q33" s="183"/>
      <c r="R33" s="229"/>
    </row>
    <row r="34" ht="15.75" customHeight="1">
      <c r="D34" s="7" t="s">
        <v>517</v>
      </c>
      <c r="F34" s="117"/>
      <c r="G34" s="7" t="s">
        <v>729</v>
      </c>
      <c r="I34" s="52"/>
      <c r="J34" s="7" t="s">
        <v>1344</v>
      </c>
      <c r="L34" s="52"/>
      <c r="M34" s="7" t="s">
        <v>1346</v>
      </c>
      <c r="O34" s="52"/>
      <c r="P34" s="7" t="s">
        <v>1347</v>
      </c>
      <c r="R34" s="52"/>
    </row>
    <row r="35" ht="15.75" customHeight="1"/>
    <row r="36" ht="15.75" customHeight="1">
      <c r="D36" s="7" t="s">
        <v>1348</v>
      </c>
    </row>
    <row r="37" ht="15.75" customHeight="1">
      <c r="E37" s="7"/>
    </row>
    <row r="38" ht="15.75" customHeight="1">
      <c r="J38" s="187"/>
    </row>
    <row r="39" ht="15.75" customHeight="1">
      <c r="D39" s="99" t="s">
        <v>322</v>
      </c>
      <c r="E39" s="26"/>
      <c r="F39" s="100"/>
      <c r="G39" s="101" t="s">
        <v>323</v>
      </c>
      <c r="H39" s="26"/>
      <c r="I39" s="100"/>
      <c r="J39" s="29" t="s">
        <v>324</v>
      </c>
      <c r="K39" s="26"/>
      <c r="L39" s="100"/>
      <c r="M39" s="30" t="s">
        <v>325</v>
      </c>
      <c r="N39" s="26"/>
      <c r="O39" s="100"/>
      <c r="P39" s="31" t="s">
        <v>326</v>
      </c>
      <c r="Q39" s="26"/>
      <c r="R39" s="28"/>
    </row>
    <row r="40" ht="15.75" customHeight="1">
      <c r="D40" s="45" t="s">
        <v>46</v>
      </c>
      <c r="E40" s="46" t="s">
        <v>49</v>
      </c>
      <c r="F40" s="102" t="s">
        <v>54</v>
      </c>
      <c r="G40" s="45" t="s">
        <v>46</v>
      </c>
      <c r="H40" s="46" t="s">
        <v>49</v>
      </c>
      <c r="I40" s="102" t="s">
        <v>54</v>
      </c>
      <c r="J40" s="45" t="s">
        <v>46</v>
      </c>
      <c r="K40" s="46" t="s">
        <v>49</v>
      </c>
      <c r="L40" s="102" t="s">
        <v>54</v>
      </c>
      <c r="M40" s="45" t="s">
        <v>46</v>
      </c>
      <c r="N40" s="46" t="s">
        <v>49</v>
      </c>
      <c r="O40" s="102" t="s">
        <v>54</v>
      </c>
      <c r="P40" s="103" t="s">
        <v>46</v>
      </c>
      <c r="Q40" s="104" t="s">
        <v>49</v>
      </c>
      <c r="R40" s="105" t="s">
        <v>54</v>
      </c>
    </row>
    <row r="41" ht="15.75" customHeight="1">
      <c r="B41" s="185" t="s">
        <v>11</v>
      </c>
      <c r="C41" s="107" t="s">
        <v>110</v>
      </c>
      <c r="D41" s="108" t="s">
        <v>1355</v>
      </c>
      <c r="E41" s="206" t="s">
        <v>1357</v>
      </c>
      <c r="F41" s="120" t="s">
        <v>112</v>
      </c>
      <c r="G41" s="108" t="s">
        <v>327</v>
      </c>
      <c r="H41" s="303" t="s">
        <v>327</v>
      </c>
      <c r="I41" s="120" t="s">
        <v>112</v>
      </c>
      <c r="J41" s="108" t="s">
        <v>327</v>
      </c>
      <c r="K41" s="303" t="s">
        <v>327</v>
      </c>
      <c r="L41" s="125" t="s">
        <v>112</v>
      </c>
      <c r="M41" s="122" t="s">
        <v>1361</v>
      </c>
      <c r="N41" s="109" t="s">
        <v>1361</v>
      </c>
      <c r="O41" s="120" t="s">
        <v>112</v>
      </c>
      <c r="P41" s="122" t="s">
        <v>1363</v>
      </c>
      <c r="Q41" s="109" t="s">
        <v>1363</v>
      </c>
      <c r="R41" s="127" t="s">
        <v>112</v>
      </c>
    </row>
    <row r="42" ht="15.75" customHeight="1">
      <c r="B42" s="129"/>
      <c r="C42" s="165" t="s">
        <v>189</v>
      </c>
      <c r="D42" s="167" t="s">
        <v>399</v>
      </c>
      <c r="E42" s="191" t="s">
        <v>1324</v>
      </c>
      <c r="F42" s="169"/>
      <c r="G42" s="167" t="s">
        <v>399</v>
      </c>
      <c r="H42" s="191" t="s">
        <v>399</v>
      </c>
      <c r="I42" s="169"/>
      <c r="J42" s="167" t="s">
        <v>399</v>
      </c>
      <c r="K42" s="191" t="s">
        <v>399</v>
      </c>
      <c r="L42" s="169"/>
      <c r="M42" s="122" t="s">
        <v>1369</v>
      </c>
      <c r="N42" s="168" t="s">
        <v>1369</v>
      </c>
      <c r="O42" s="169"/>
      <c r="P42" s="122" t="s">
        <v>1370</v>
      </c>
      <c r="Q42" s="168" t="s">
        <v>1370</v>
      </c>
      <c r="R42" s="171"/>
    </row>
    <row r="43" ht="15.75" customHeight="1">
      <c r="B43" s="129"/>
      <c r="C43" s="165" t="s">
        <v>306</v>
      </c>
      <c r="D43" s="174" t="s">
        <v>438</v>
      </c>
      <c r="E43" s="219" t="s">
        <v>438</v>
      </c>
      <c r="F43" s="176" t="s">
        <v>307</v>
      </c>
      <c r="G43" s="174" t="s">
        <v>438</v>
      </c>
      <c r="H43" s="219" t="s">
        <v>438</v>
      </c>
      <c r="I43" s="169"/>
      <c r="J43" s="174" t="s">
        <v>438</v>
      </c>
      <c r="K43" s="219" t="s">
        <v>438</v>
      </c>
      <c r="L43" s="169"/>
      <c r="M43" s="174" t="s">
        <v>438</v>
      </c>
      <c r="N43" s="178" t="s">
        <v>438</v>
      </c>
      <c r="O43" s="169"/>
      <c r="P43" s="174" t="s">
        <v>438</v>
      </c>
      <c r="Q43" s="178" t="s">
        <v>438</v>
      </c>
      <c r="R43" s="171"/>
    </row>
    <row r="44" ht="15.75" customHeight="1">
      <c r="B44" s="181"/>
      <c r="C44" s="182" t="s">
        <v>86</v>
      </c>
      <c r="D44" s="224" t="s">
        <v>1379</v>
      </c>
      <c r="E44" s="96"/>
      <c r="F44" s="252" t="s">
        <v>312</v>
      </c>
      <c r="G44" s="224" t="s">
        <v>1379</v>
      </c>
      <c r="H44" s="183"/>
      <c r="I44" s="225"/>
      <c r="J44" s="224" t="s">
        <v>1379</v>
      </c>
      <c r="K44" s="183"/>
      <c r="L44" s="225"/>
      <c r="M44" s="224" t="s">
        <v>494</v>
      </c>
      <c r="N44" s="183"/>
      <c r="O44" s="225"/>
      <c r="P44" s="224" t="s">
        <v>494</v>
      </c>
      <c r="Q44" s="183"/>
      <c r="R44" s="229"/>
    </row>
    <row r="45" ht="15.75" customHeight="1">
      <c r="D45" s="7" t="s">
        <v>1386</v>
      </c>
      <c r="F45" s="117"/>
      <c r="G45" s="7" t="s">
        <v>1388</v>
      </c>
      <c r="I45" s="52"/>
      <c r="J45" s="7" t="s">
        <v>1390</v>
      </c>
      <c r="L45" s="52"/>
      <c r="M45" s="7" t="s">
        <v>1392</v>
      </c>
      <c r="O45" s="52"/>
      <c r="P45" s="7" t="s">
        <v>1393</v>
      </c>
      <c r="R45" s="52"/>
    </row>
    <row r="46" ht="15.75" customHeight="1"/>
    <row r="47" ht="15.75" customHeight="1">
      <c r="D47" s="7" t="s">
        <v>1395</v>
      </c>
    </row>
    <row r="48" ht="15.75" customHeight="1"/>
    <row r="49" ht="15.75" customHeight="1">
      <c r="D49" s="99" t="s">
        <v>524</v>
      </c>
      <c r="E49" s="26"/>
      <c r="F49" s="100"/>
      <c r="G49" s="101" t="s">
        <v>529</v>
      </c>
      <c r="H49" s="26"/>
      <c r="I49" s="100"/>
      <c r="J49" s="29" t="s">
        <v>534</v>
      </c>
      <c r="K49" s="26"/>
      <c r="L49" s="100"/>
      <c r="M49" s="30" t="s">
        <v>538</v>
      </c>
      <c r="N49" s="26"/>
      <c r="O49" s="100"/>
      <c r="P49" s="31" t="s">
        <v>541</v>
      </c>
      <c r="Q49" s="26"/>
      <c r="R49" s="28"/>
    </row>
    <row r="50" ht="15.75" customHeight="1">
      <c r="D50" s="103" t="s">
        <v>46</v>
      </c>
      <c r="E50" s="104" t="s">
        <v>49</v>
      </c>
      <c r="F50" s="105" t="s">
        <v>54</v>
      </c>
      <c r="G50" s="45" t="s">
        <v>46</v>
      </c>
      <c r="H50" s="46" t="s">
        <v>49</v>
      </c>
      <c r="I50" s="102" t="s">
        <v>54</v>
      </c>
      <c r="J50" s="45" t="s">
        <v>46</v>
      </c>
      <c r="K50" s="46" t="s">
        <v>49</v>
      </c>
      <c r="L50" s="102" t="s">
        <v>54</v>
      </c>
      <c r="M50" s="45" t="s">
        <v>46</v>
      </c>
      <c r="N50" s="46" t="s">
        <v>49</v>
      </c>
      <c r="O50" s="102" t="s">
        <v>54</v>
      </c>
      <c r="P50" s="103" t="s">
        <v>46</v>
      </c>
      <c r="Q50" s="104" t="s">
        <v>49</v>
      </c>
      <c r="R50" s="105" t="s">
        <v>54</v>
      </c>
    </row>
    <row r="51" ht="15.75" customHeight="1">
      <c r="B51" s="185" t="s">
        <v>14</v>
      </c>
      <c r="C51" s="107" t="s">
        <v>110</v>
      </c>
      <c r="D51" s="122" t="s">
        <v>680</v>
      </c>
      <c r="E51" s="109" t="s">
        <v>680</v>
      </c>
      <c r="F51" s="127" t="s">
        <v>112</v>
      </c>
      <c r="G51" s="122" t="s">
        <v>775</v>
      </c>
      <c r="H51" s="109" t="s">
        <v>775</v>
      </c>
      <c r="I51" s="120" t="s">
        <v>112</v>
      </c>
      <c r="J51" s="108" t="s">
        <v>327</v>
      </c>
      <c r="K51" s="122" t="s">
        <v>1409</v>
      </c>
      <c r="L51" s="125" t="s">
        <v>112</v>
      </c>
      <c r="M51" s="108" t="s">
        <v>327</v>
      </c>
      <c r="N51" s="122" t="s">
        <v>1409</v>
      </c>
      <c r="O51" s="120" t="s">
        <v>112</v>
      </c>
      <c r="P51" s="108" t="s">
        <v>327</v>
      </c>
      <c r="Q51" s="122" t="s">
        <v>1409</v>
      </c>
      <c r="R51" s="127" t="s">
        <v>112</v>
      </c>
    </row>
    <row r="52" ht="15.75" customHeight="1">
      <c r="B52" s="129"/>
      <c r="C52" s="165" t="s">
        <v>189</v>
      </c>
      <c r="D52" s="122" t="s">
        <v>406</v>
      </c>
      <c r="E52" s="168" t="s">
        <v>406</v>
      </c>
      <c r="F52" s="171"/>
      <c r="G52" s="122" t="s">
        <v>437</v>
      </c>
      <c r="H52" s="168" t="s">
        <v>437</v>
      </c>
      <c r="I52" s="169"/>
      <c r="J52" s="167" t="s">
        <v>399</v>
      </c>
      <c r="K52" s="122" t="s">
        <v>1422</v>
      </c>
      <c r="L52" s="169"/>
      <c r="M52" s="167" t="s">
        <v>399</v>
      </c>
      <c r="N52" s="122" t="s">
        <v>1422</v>
      </c>
      <c r="O52" s="169"/>
      <c r="P52" s="167" t="s">
        <v>399</v>
      </c>
      <c r="Q52" s="122" t="s">
        <v>1422</v>
      </c>
      <c r="R52" s="171"/>
    </row>
    <row r="53" ht="15.75" customHeight="1">
      <c r="B53" s="129"/>
      <c r="C53" s="165" t="s">
        <v>306</v>
      </c>
      <c r="D53" s="167" t="s">
        <v>711</v>
      </c>
      <c r="E53" s="168" t="s">
        <v>711</v>
      </c>
      <c r="F53" s="171"/>
      <c r="G53" s="167" t="s">
        <v>711</v>
      </c>
      <c r="H53" s="168" t="s">
        <v>711</v>
      </c>
      <c r="I53" s="169"/>
      <c r="J53" s="174" t="s">
        <v>438</v>
      </c>
      <c r="K53" s="174" t="s">
        <v>438</v>
      </c>
      <c r="L53" s="169"/>
      <c r="M53" s="174" t="s">
        <v>438</v>
      </c>
      <c r="N53" s="174" t="s">
        <v>438</v>
      </c>
      <c r="O53" s="169"/>
      <c r="P53" s="174" t="s">
        <v>438</v>
      </c>
      <c r="Q53" s="174" t="s">
        <v>438</v>
      </c>
      <c r="R53" s="171"/>
    </row>
    <row r="54" ht="15.75" customHeight="1">
      <c r="B54" s="181"/>
      <c r="C54" s="182" t="s">
        <v>86</v>
      </c>
      <c r="D54" s="224"/>
      <c r="E54" s="183"/>
      <c r="F54" s="229"/>
      <c r="G54" s="224"/>
      <c r="H54" s="183"/>
      <c r="I54" s="225"/>
      <c r="J54" s="224" t="s">
        <v>1379</v>
      </c>
      <c r="K54" s="183"/>
      <c r="L54" s="225"/>
      <c r="M54" s="224" t="s">
        <v>1379</v>
      </c>
      <c r="N54" s="183"/>
      <c r="O54" s="225"/>
      <c r="P54" s="224" t="s">
        <v>1379</v>
      </c>
      <c r="Q54" s="183"/>
      <c r="R54" s="229"/>
    </row>
    <row r="55" ht="15.75" customHeight="1">
      <c r="D55" s="7" t="s">
        <v>1454</v>
      </c>
      <c r="F55" s="117"/>
      <c r="G55" s="7" t="s">
        <v>1456</v>
      </c>
      <c r="I55" s="52"/>
      <c r="J55" s="7" t="s">
        <v>1458</v>
      </c>
      <c r="L55" s="52"/>
      <c r="M55" s="7" t="s">
        <v>1460</v>
      </c>
      <c r="O55" s="52"/>
      <c r="P55" s="7" t="s">
        <v>1462</v>
      </c>
      <c r="R55" s="52"/>
    </row>
    <row r="56" ht="15.75" customHeight="1"/>
    <row r="57" ht="15.75" customHeight="1">
      <c r="D57" s="7" t="s">
        <v>1464</v>
      </c>
    </row>
    <row r="58" ht="15.75" customHeight="1"/>
    <row r="59" ht="15.75" customHeight="1">
      <c r="D59" s="99" t="s">
        <v>741</v>
      </c>
      <c r="E59" s="26"/>
      <c r="F59" s="100"/>
      <c r="G59" s="101" t="s">
        <v>744</v>
      </c>
      <c r="H59" s="26"/>
      <c r="I59" s="100"/>
      <c r="J59" s="29" t="s">
        <v>747</v>
      </c>
      <c r="K59" s="26"/>
      <c r="L59" s="100"/>
      <c r="M59" s="30" t="s">
        <v>750</v>
      </c>
      <c r="N59" s="26"/>
      <c r="O59" s="100"/>
      <c r="P59" s="31" t="s">
        <v>753</v>
      </c>
      <c r="Q59" s="26"/>
      <c r="R59" s="28"/>
    </row>
    <row r="60" ht="15.75" customHeight="1">
      <c r="D60" s="45" t="s">
        <v>46</v>
      </c>
      <c r="E60" s="46" t="s">
        <v>49</v>
      </c>
      <c r="F60" s="102" t="s">
        <v>54</v>
      </c>
      <c r="G60" s="45" t="s">
        <v>46</v>
      </c>
      <c r="H60" s="46" t="s">
        <v>49</v>
      </c>
      <c r="I60" s="102" t="s">
        <v>54</v>
      </c>
      <c r="J60" s="45" t="s">
        <v>46</v>
      </c>
      <c r="K60" s="46" t="s">
        <v>49</v>
      </c>
      <c r="L60" s="102" t="s">
        <v>54</v>
      </c>
      <c r="M60" s="103" t="s">
        <v>46</v>
      </c>
      <c r="N60" s="104" t="s">
        <v>49</v>
      </c>
      <c r="O60" s="102" t="s">
        <v>54</v>
      </c>
      <c r="P60" s="103" t="s">
        <v>46</v>
      </c>
      <c r="Q60" s="104" t="s">
        <v>49</v>
      </c>
      <c r="R60" s="105" t="s">
        <v>54</v>
      </c>
    </row>
    <row r="61" ht="15.75" customHeight="1">
      <c r="B61" s="185" t="s">
        <v>16</v>
      </c>
      <c r="C61" s="107" t="s">
        <v>110</v>
      </c>
      <c r="D61" s="122" t="s">
        <v>680</v>
      </c>
      <c r="E61" s="122" t="s">
        <v>775</v>
      </c>
      <c r="F61" s="120" t="s">
        <v>112</v>
      </c>
      <c r="G61" s="122" t="s">
        <v>775</v>
      </c>
      <c r="H61" s="109" t="s">
        <v>775</v>
      </c>
      <c r="I61" s="125" t="s">
        <v>112</v>
      </c>
      <c r="J61" s="122" t="s">
        <v>775</v>
      </c>
      <c r="K61" s="109" t="s">
        <v>775</v>
      </c>
      <c r="L61" s="120" t="s">
        <v>112</v>
      </c>
      <c r="M61" s="122" t="s">
        <v>775</v>
      </c>
      <c r="N61" s="109" t="s">
        <v>775</v>
      </c>
      <c r="O61" s="120" t="s">
        <v>112</v>
      </c>
      <c r="P61" s="108"/>
      <c r="Q61" s="303"/>
      <c r="R61" s="246" t="s">
        <v>112</v>
      </c>
    </row>
    <row r="62" ht="15.75" customHeight="1">
      <c r="B62" s="129"/>
      <c r="C62" s="165" t="s">
        <v>189</v>
      </c>
      <c r="D62" s="122" t="s">
        <v>406</v>
      </c>
      <c r="E62" s="122" t="s">
        <v>437</v>
      </c>
      <c r="F62" s="169"/>
      <c r="G62" s="122" t="s">
        <v>437</v>
      </c>
      <c r="H62" s="168" t="s">
        <v>437</v>
      </c>
      <c r="I62" s="169"/>
      <c r="J62" s="122" t="s">
        <v>437</v>
      </c>
      <c r="K62" s="168" t="s">
        <v>437</v>
      </c>
      <c r="L62" s="169"/>
      <c r="M62" s="122" t="s">
        <v>437</v>
      </c>
      <c r="N62" s="168" t="s">
        <v>437</v>
      </c>
      <c r="O62" s="169"/>
      <c r="P62" s="167"/>
      <c r="Q62" s="191"/>
      <c r="R62" s="247"/>
    </row>
    <row r="63" ht="15.75" customHeight="1">
      <c r="B63" s="129"/>
      <c r="C63" s="165" t="s">
        <v>306</v>
      </c>
      <c r="D63" s="174" t="s">
        <v>438</v>
      </c>
      <c r="E63" s="219" t="s">
        <v>438</v>
      </c>
      <c r="F63" s="176" t="s">
        <v>307</v>
      </c>
      <c r="G63" s="174" t="s">
        <v>438</v>
      </c>
      <c r="H63" s="178" t="s">
        <v>438</v>
      </c>
      <c r="I63" s="169"/>
      <c r="J63" s="174" t="s">
        <v>438</v>
      </c>
      <c r="K63" s="178" t="s">
        <v>438</v>
      </c>
      <c r="L63" s="169"/>
      <c r="M63" s="174" t="s">
        <v>438</v>
      </c>
      <c r="N63" s="178" t="s">
        <v>438</v>
      </c>
      <c r="O63" s="169"/>
      <c r="P63" s="174" t="s">
        <v>438</v>
      </c>
      <c r="Q63" s="219" t="s">
        <v>438</v>
      </c>
      <c r="R63" s="251" t="s">
        <v>307</v>
      </c>
    </row>
    <row r="64" ht="15.75" customHeight="1">
      <c r="B64" s="181"/>
      <c r="C64" s="182" t="s">
        <v>86</v>
      </c>
      <c r="D64" s="92"/>
      <c r="E64" s="96"/>
      <c r="F64" s="252" t="s">
        <v>312</v>
      </c>
      <c r="G64" s="224"/>
      <c r="H64" s="183"/>
      <c r="I64" s="225"/>
      <c r="J64" s="224" t="s">
        <v>833</v>
      </c>
      <c r="K64" s="183"/>
      <c r="L64" s="225"/>
      <c r="M64" s="224"/>
      <c r="N64" s="183"/>
      <c r="O64" s="225"/>
      <c r="P64" s="92" t="s">
        <v>1506</v>
      </c>
      <c r="Q64" s="96"/>
      <c r="R64" s="254" t="s">
        <v>312</v>
      </c>
    </row>
    <row r="65" ht="15.75" customHeight="1">
      <c r="D65" s="7" t="s">
        <v>736</v>
      </c>
      <c r="F65" s="117"/>
      <c r="G65" s="7" t="s">
        <v>1510</v>
      </c>
      <c r="I65" s="52"/>
      <c r="J65" s="7" t="s">
        <v>30</v>
      </c>
      <c r="L65" s="52"/>
      <c r="M65" s="7" t="s">
        <v>30</v>
      </c>
      <c r="P65" s="7" t="s">
        <v>30</v>
      </c>
      <c r="R65" s="52"/>
    </row>
    <row r="66" ht="15.75" customHeight="1"/>
    <row r="67" ht="15.75" customHeight="1">
      <c r="D67" s="7" t="s">
        <v>1514</v>
      </c>
    </row>
    <row r="68" ht="15.75" customHeight="1"/>
    <row r="69" ht="15.75" customHeight="1"/>
    <row r="70" ht="15.75" customHeight="1">
      <c r="D70" s="99" t="s">
        <v>845</v>
      </c>
      <c r="E70" s="26"/>
      <c r="F70" s="100"/>
      <c r="G70" s="101" t="s">
        <v>853</v>
      </c>
      <c r="H70" s="26"/>
      <c r="I70" s="100"/>
      <c r="J70" s="29" t="s">
        <v>855</v>
      </c>
      <c r="K70" s="26"/>
      <c r="L70" s="100"/>
      <c r="M70" s="30" t="s">
        <v>858</v>
      </c>
      <c r="N70" s="26"/>
      <c r="O70" s="100"/>
      <c r="P70" s="319" t="s">
        <v>863</v>
      </c>
      <c r="Q70" s="26"/>
      <c r="R70" s="28"/>
    </row>
    <row r="71" ht="15.75" customHeight="1">
      <c r="D71" s="45" t="s">
        <v>46</v>
      </c>
      <c r="E71" s="46" t="s">
        <v>49</v>
      </c>
      <c r="F71" s="102" t="s">
        <v>54</v>
      </c>
      <c r="G71" s="45" t="s">
        <v>46</v>
      </c>
      <c r="H71" s="46" t="s">
        <v>49</v>
      </c>
      <c r="I71" s="102" t="s">
        <v>54</v>
      </c>
      <c r="J71" s="45" t="s">
        <v>46</v>
      </c>
      <c r="K71" s="46" t="s">
        <v>49</v>
      </c>
      <c r="L71" s="102" t="s">
        <v>54</v>
      </c>
      <c r="M71" s="45" t="s">
        <v>46</v>
      </c>
      <c r="N71" s="46" t="s">
        <v>49</v>
      </c>
      <c r="O71" s="102" t="s">
        <v>54</v>
      </c>
      <c r="P71" s="321" t="s">
        <v>46</v>
      </c>
      <c r="Q71" s="322" t="s">
        <v>49</v>
      </c>
      <c r="R71" s="323" t="s">
        <v>54</v>
      </c>
    </row>
    <row r="72" ht="15.75" customHeight="1">
      <c r="B72" s="185" t="s">
        <v>19</v>
      </c>
      <c r="C72" s="107" t="s">
        <v>110</v>
      </c>
      <c r="D72" s="108"/>
      <c r="E72" s="303"/>
      <c r="F72" s="120" t="s">
        <v>112</v>
      </c>
      <c r="G72" s="122"/>
      <c r="H72" s="109"/>
      <c r="I72" s="120" t="s">
        <v>112</v>
      </c>
      <c r="J72" s="122"/>
      <c r="K72" s="109"/>
      <c r="L72" s="125" t="s">
        <v>112</v>
      </c>
      <c r="M72" s="122"/>
      <c r="N72" s="109"/>
      <c r="O72" s="120" t="s">
        <v>112</v>
      </c>
      <c r="P72" s="327"/>
      <c r="Q72" s="328"/>
      <c r="R72" s="329" t="s">
        <v>112</v>
      </c>
    </row>
    <row r="73" ht="15.75" customHeight="1">
      <c r="B73" s="129"/>
      <c r="C73" s="165" t="s">
        <v>189</v>
      </c>
      <c r="D73" s="167"/>
      <c r="E73" s="191"/>
      <c r="F73" s="169"/>
      <c r="G73" s="122"/>
      <c r="H73" s="168"/>
      <c r="I73" s="169"/>
      <c r="J73" s="122"/>
      <c r="K73" s="168"/>
      <c r="L73" s="169"/>
      <c r="M73" s="122"/>
      <c r="N73" s="168"/>
      <c r="O73" s="169"/>
      <c r="P73" s="327"/>
      <c r="Q73" s="330"/>
      <c r="R73" s="331"/>
    </row>
    <row r="74" ht="15.75" customHeight="1">
      <c r="B74" s="129"/>
      <c r="C74" s="165" t="s">
        <v>306</v>
      </c>
      <c r="D74" s="174" t="s">
        <v>438</v>
      </c>
      <c r="E74" s="219" t="s">
        <v>438</v>
      </c>
      <c r="F74" s="176" t="s">
        <v>307</v>
      </c>
      <c r="G74" s="174" t="s">
        <v>438</v>
      </c>
      <c r="H74" s="178" t="s">
        <v>438</v>
      </c>
      <c r="I74" s="169"/>
      <c r="J74" s="174" t="s">
        <v>438</v>
      </c>
      <c r="K74" s="178" t="s">
        <v>438</v>
      </c>
      <c r="L74" s="169"/>
      <c r="M74" s="174"/>
      <c r="N74" s="178"/>
      <c r="O74" s="169"/>
      <c r="P74" s="332"/>
      <c r="Q74" s="333"/>
      <c r="R74" s="331"/>
    </row>
    <row r="75" ht="15.75" customHeight="1">
      <c r="B75" s="181"/>
      <c r="C75" s="182" t="s">
        <v>86</v>
      </c>
      <c r="D75" s="92" t="s">
        <v>1506</v>
      </c>
      <c r="E75" s="96"/>
      <c r="F75" s="252" t="s">
        <v>312</v>
      </c>
      <c r="G75" s="92" t="s">
        <v>1506</v>
      </c>
      <c r="H75" s="183"/>
      <c r="I75" s="225"/>
      <c r="J75" s="224"/>
      <c r="K75" s="183"/>
      <c r="L75" s="225"/>
      <c r="M75" s="224"/>
      <c r="N75" s="183"/>
      <c r="O75" s="225"/>
      <c r="P75" s="334"/>
      <c r="Q75" s="336"/>
      <c r="R75" s="338"/>
    </row>
    <row r="76" ht="15.75" customHeight="1">
      <c r="D76" s="7" t="s">
        <v>30</v>
      </c>
      <c r="F76" s="117"/>
      <c r="G76" s="7" t="s">
        <v>30</v>
      </c>
      <c r="I76" s="52"/>
      <c r="J76" s="7" t="s">
        <v>1613</v>
      </c>
      <c r="L76" s="52"/>
      <c r="M76" s="7" t="s">
        <v>1613</v>
      </c>
      <c r="O76" s="52"/>
      <c r="P76" s="7" t="s">
        <v>1001</v>
      </c>
      <c r="R76" s="52"/>
    </row>
    <row r="77" ht="15.75" customHeight="1"/>
    <row r="78" ht="15.75" customHeight="1">
      <c r="D78" s="7" t="s">
        <v>1616</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9">
    <mergeCell ref="D12:F12"/>
    <mergeCell ref="G12:I12"/>
    <mergeCell ref="J12:L12"/>
    <mergeCell ref="G18:I18"/>
    <mergeCell ref="J18:L18"/>
    <mergeCell ref="M18:O18"/>
    <mergeCell ref="P18:R18"/>
    <mergeCell ref="D18:F18"/>
    <mergeCell ref="B20:B23"/>
    <mergeCell ref="G28:I28"/>
    <mergeCell ref="J28:L28"/>
    <mergeCell ref="M28:O28"/>
    <mergeCell ref="P28:R28"/>
    <mergeCell ref="B30:B33"/>
    <mergeCell ref="D28:F28"/>
    <mergeCell ref="D39:F39"/>
    <mergeCell ref="G39:I39"/>
    <mergeCell ref="J39:L39"/>
    <mergeCell ref="M39:O39"/>
    <mergeCell ref="P39:R39"/>
    <mergeCell ref="B41:B44"/>
    <mergeCell ref="M59:O59"/>
    <mergeCell ref="P59:R59"/>
    <mergeCell ref="D49:F49"/>
    <mergeCell ref="G49:I49"/>
    <mergeCell ref="J49:L49"/>
    <mergeCell ref="M49:O49"/>
    <mergeCell ref="P49:R49"/>
    <mergeCell ref="B51:B54"/>
    <mergeCell ref="D59:F59"/>
    <mergeCell ref="B61:B64"/>
    <mergeCell ref="B72:B75"/>
    <mergeCell ref="G59:I59"/>
    <mergeCell ref="J59:L59"/>
    <mergeCell ref="D70:F70"/>
    <mergeCell ref="G70:I70"/>
    <mergeCell ref="J70:L70"/>
    <mergeCell ref="M70:O70"/>
    <mergeCell ref="P70:R7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0"/>
    <col customWidth="1" min="2" max="2" width="7.14"/>
    <col customWidth="1" min="3" max="3" width="11.43"/>
    <col customWidth="1" min="4" max="4" width="13.57"/>
    <col customWidth="1" min="5" max="5" width="6.71"/>
    <col customWidth="1" min="6" max="6" width="16.57"/>
    <col customWidth="1" min="7" max="7" width="23.43"/>
    <col customWidth="1" min="8" max="8" width="30.14"/>
    <col customWidth="1" min="9" max="9" width="31.43"/>
    <col customWidth="1" min="10" max="10" width="26.86"/>
    <col customWidth="1" min="11" max="11" width="8.71"/>
    <col customWidth="1" min="12" max="12" width="13.14"/>
    <col customWidth="1" min="13" max="13" width="21.86"/>
    <col customWidth="1" min="14" max="14" width="9.29"/>
    <col customWidth="1" min="15" max="16" width="8.71"/>
    <col customWidth="1" min="17" max="17" width="30.0"/>
    <col customWidth="1" min="18" max="21" width="8.71"/>
    <col customWidth="1" min="22" max="22" width="13.0"/>
    <col customWidth="1" min="23" max="23" width="8.0"/>
    <col customWidth="1" min="24" max="24" width="33.43"/>
    <col customWidth="1" min="25" max="25" width="53.29"/>
    <col customWidth="1" min="26" max="26" width="28.0"/>
    <col customWidth="1" min="27" max="27" width="25.29"/>
    <col customWidth="1" min="28" max="28" width="29.86"/>
    <col customWidth="1" min="29" max="29" width="39.14"/>
    <col customWidth="1" min="30" max="30" width="37.0"/>
    <col customWidth="1" min="31" max="31" width="21.43"/>
    <col customWidth="1" min="32" max="32" width="23.43"/>
    <col customWidth="1" min="33" max="36" width="8.71"/>
    <col customWidth="1" min="37" max="37" width="23.43"/>
    <col customWidth="1" min="38" max="41" width="8.71"/>
    <col customWidth="1" min="42" max="42" width="35.0"/>
    <col customWidth="1" min="43" max="51" width="8.71"/>
  </cols>
  <sheetData>
    <row r="1">
      <c r="A1" s="2">
        <v>2026.0</v>
      </c>
      <c r="B1" s="5"/>
      <c r="C1" s="15"/>
      <c r="D1" s="15" t="s">
        <v>32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23"/>
      <c r="AL1" s="15"/>
      <c r="AM1" s="15"/>
      <c r="AN1" s="15"/>
      <c r="AO1" s="15"/>
      <c r="AP1" s="15"/>
      <c r="AQ1" s="15"/>
      <c r="AR1" s="15"/>
      <c r="AS1" s="15"/>
      <c r="AT1" s="15"/>
      <c r="AU1" s="23"/>
    </row>
    <row r="2">
      <c r="A2" s="33" t="s">
        <v>36</v>
      </c>
      <c r="B2" s="35">
        <v>46223.0</v>
      </c>
      <c r="C2" s="38"/>
      <c r="D2" s="40"/>
      <c r="E2" s="38" t="s">
        <v>50</v>
      </c>
      <c r="F2" s="38"/>
      <c r="G2" s="38"/>
      <c r="H2" s="38"/>
      <c r="I2" s="38"/>
      <c r="J2" s="38"/>
      <c r="K2" s="38"/>
      <c r="L2" s="43" t="s">
        <v>53</v>
      </c>
      <c r="N2" s="38"/>
      <c r="O2" s="38"/>
      <c r="P2" s="38"/>
      <c r="Q2" s="38"/>
      <c r="R2" s="38"/>
      <c r="S2" s="38"/>
      <c r="T2" s="38"/>
      <c r="U2" s="38"/>
      <c r="V2" s="38"/>
      <c r="W2" s="38"/>
      <c r="X2" s="38"/>
      <c r="Y2" s="38"/>
      <c r="Z2" s="38"/>
      <c r="AA2" s="38"/>
      <c r="AB2" s="38"/>
      <c r="AC2" s="38"/>
      <c r="AD2" s="38"/>
      <c r="AE2" s="38"/>
      <c r="AF2" s="38"/>
      <c r="AG2" s="38"/>
      <c r="AH2" s="38"/>
      <c r="AI2" s="38"/>
      <c r="AJ2" s="38"/>
      <c r="AK2" s="48"/>
      <c r="AL2" s="38"/>
      <c r="AM2" s="38"/>
      <c r="AN2" s="38"/>
      <c r="AO2" s="38"/>
      <c r="AP2" s="38"/>
      <c r="AQ2" s="38"/>
      <c r="AR2" s="38"/>
      <c r="AS2" s="38"/>
      <c r="AT2" s="38"/>
      <c r="AU2" s="48"/>
    </row>
    <row r="3">
      <c r="A3" s="33" t="s">
        <v>59</v>
      </c>
      <c r="B3" s="35">
        <v>46262.0</v>
      </c>
      <c r="C3" s="38"/>
      <c r="D3" s="60"/>
      <c r="E3" s="38" t="s">
        <v>79</v>
      </c>
      <c r="F3" s="38"/>
      <c r="G3" s="38"/>
      <c r="H3" s="38"/>
      <c r="I3" s="38"/>
      <c r="J3" s="38"/>
      <c r="K3" s="38"/>
      <c r="L3" s="38"/>
      <c r="M3" s="38"/>
      <c r="N3" s="38"/>
      <c r="O3" s="38"/>
      <c r="P3" s="38"/>
      <c r="Q3" s="38"/>
      <c r="R3" s="38"/>
      <c r="S3" s="38"/>
      <c r="T3" s="38"/>
      <c r="U3" s="38"/>
      <c r="V3" s="38"/>
      <c r="W3" s="38"/>
      <c r="X3" s="38"/>
      <c r="Y3" s="38"/>
      <c r="Z3" s="71"/>
      <c r="AA3" s="38"/>
      <c r="AB3" s="38"/>
      <c r="AC3" s="38"/>
      <c r="AD3" s="38"/>
      <c r="AE3" s="38"/>
      <c r="AF3" s="38"/>
      <c r="AG3" s="38"/>
      <c r="AH3" s="38"/>
      <c r="AI3" s="38"/>
      <c r="AJ3" s="38"/>
      <c r="AK3" s="48"/>
      <c r="AL3" s="38"/>
      <c r="AM3" s="38"/>
      <c r="AN3" s="38"/>
      <c r="AO3" s="38"/>
      <c r="AP3" s="38"/>
      <c r="AQ3" s="38"/>
      <c r="AR3" s="38"/>
      <c r="AS3" s="38"/>
      <c r="AT3" s="38"/>
      <c r="AU3" s="48"/>
    </row>
    <row r="4">
      <c r="A4" s="33" t="s">
        <v>94</v>
      </c>
      <c r="B4" s="77">
        <v>30.0</v>
      </c>
      <c r="C4" s="38"/>
      <c r="D4" s="90"/>
      <c r="E4" s="38" t="s">
        <v>103</v>
      </c>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48"/>
      <c r="AL4" s="38"/>
      <c r="AM4" s="38"/>
      <c r="AN4" s="38"/>
      <c r="AO4" s="38"/>
      <c r="AP4" s="38"/>
      <c r="AQ4" s="38"/>
      <c r="AR4" s="38"/>
      <c r="AS4" s="38"/>
      <c r="AT4" s="38"/>
      <c r="AU4" s="48"/>
    </row>
    <row r="5">
      <c r="A5" s="110" t="s">
        <v>111</v>
      </c>
      <c r="B5" s="111"/>
      <c r="C5" s="38"/>
      <c r="D5" s="112"/>
      <c r="E5" s="38" t="s">
        <v>113</v>
      </c>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48"/>
      <c r="AL5" s="38"/>
      <c r="AM5" s="38"/>
      <c r="AN5" s="38"/>
      <c r="AO5" s="38"/>
      <c r="AP5" s="38"/>
      <c r="AQ5" s="38"/>
      <c r="AR5" s="38"/>
      <c r="AS5" s="38"/>
      <c r="AT5" s="38"/>
      <c r="AU5" s="48"/>
    </row>
    <row r="6">
      <c r="A6" s="33"/>
      <c r="B6" s="38"/>
      <c r="C6" s="38"/>
      <c r="D6" s="119"/>
      <c r="E6" s="38" t="s">
        <v>150</v>
      </c>
      <c r="F6" s="38"/>
      <c r="G6" s="38"/>
      <c r="H6" s="38"/>
      <c r="I6" s="38"/>
      <c r="J6" s="38"/>
      <c r="K6" s="38"/>
      <c r="L6" s="38"/>
      <c r="M6" s="38"/>
      <c r="N6" s="38"/>
      <c r="O6" s="38"/>
      <c r="P6" s="38"/>
      <c r="Q6" s="38"/>
      <c r="R6" s="43" t="s">
        <v>163</v>
      </c>
      <c r="S6" s="38"/>
      <c r="T6" s="38"/>
      <c r="U6" s="38"/>
      <c r="V6" s="38"/>
      <c r="W6" s="38"/>
      <c r="X6" s="38"/>
      <c r="Y6" s="38"/>
      <c r="Z6" s="38"/>
      <c r="AA6" s="38"/>
      <c r="AB6" s="38"/>
      <c r="AC6" s="38"/>
      <c r="AD6" s="38"/>
      <c r="AE6" s="38"/>
      <c r="AF6" s="38"/>
      <c r="AG6" s="38"/>
      <c r="AH6" s="38"/>
      <c r="AI6" s="38"/>
      <c r="AJ6" s="38"/>
      <c r="AK6" s="48"/>
      <c r="AL6" s="38"/>
      <c r="AM6" s="38"/>
      <c r="AN6" s="38"/>
      <c r="AO6" s="38"/>
      <c r="AP6" s="38"/>
      <c r="AQ6" s="38"/>
      <c r="AR6" s="38"/>
      <c r="AS6" s="38"/>
      <c r="AT6" s="38"/>
      <c r="AU6" s="48"/>
    </row>
    <row r="7">
      <c r="A7" s="131" t="s">
        <v>114</v>
      </c>
      <c r="B7" s="132" t="s">
        <v>190</v>
      </c>
      <c r="C7" s="133" t="s">
        <v>191</v>
      </c>
      <c r="D7" s="134">
        <v>0.3333333333333333</v>
      </c>
      <c r="E7" s="133" t="s">
        <v>192</v>
      </c>
      <c r="F7" s="134">
        <v>0.375</v>
      </c>
      <c r="G7" s="135"/>
      <c r="H7" s="135"/>
      <c r="I7" s="135"/>
      <c r="J7" s="134">
        <v>0.4166666666666667</v>
      </c>
      <c r="K7" s="135"/>
      <c r="L7" s="135"/>
      <c r="M7" s="135"/>
      <c r="N7" s="134">
        <v>0.4583333333333333</v>
      </c>
      <c r="O7" s="135"/>
      <c r="P7" s="135"/>
      <c r="Q7" s="135"/>
      <c r="R7" s="134">
        <v>0.5</v>
      </c>
      <c r="S7" s="135"/>
      <c r="T7" s="135"/>
      <c r="U7" s="135"/>
      <c r="V7" s="134">
        <v>0.5416666666666666</v>
      </c>
      <c r="W7" s="135"/>
      <c r="X7" s="135"/>
      <c r="Y7" s="135"/>
      <c r="Z7" s="134">
        <v>0.5833333333333334</v>
      </c>
      <c r="AA7" s="135"/>
      <c r="AB7" s="135"/>
      <c r="AC7" s="135"/>
      <c r="AD7" s="134">
        <v>0.625</v>
      </c>
      <c r="AE7" s="135"/>
      <c r="AF7" s="135"/>
      <c r="AG7" s="135"/>
      <c r="AH7" s="134">
        <v>0.6666666666666666</v>
      </c>
      <c r="AI7" s="135"/>
      <c r="AJ7" s="135"/>
      <c r="AK7" s="133"/>
      <c r="AL7" s="134">
        <v>0.7083333333333334</v>
      </c>
      <c r="AM7" s="38" t="s">
        <v>192</v>
      </c>
      <c r="AN7" s="166">
        <v>0.8333333333333334</v>
      </c>
      <c r="AO7" s="38"/>
      <c r="AP7" s="38"/>
      <c r="AQ7" s="38"/>
      <c r="AR7" s="38"/>
      <c r="AS7" s="38"/>
      <c r="AT7" s="38"/>
      <c r="AU7" s="48"/>
    </row>
    <row r="8">
      <c r="A8" s="170" t="s">
        <v>1835</v>
      </c>
      <c r="B8" s="38">
        <v>1.0</v>
      </c>
      <c r="C8" s="172" t="s">
        <v>304</v>
      </c>
      <c r="D8" s="358" t="s">
        <v>1839</v>
      </c>
      <c r="E8" s="359"/>
      <c r="F8" s="360"/>
      <c r="G8" s="360"/>
      <c r="H8" s="360"/>
      <c r="I8" s="360"/>
      <c r="J8" s="40"/>
      <c r="K8" s="38"/>
      <c r="L8" s="38"/>
      <c r="M8" s="38"/>
      <c r="N8" s="38"/>
      <c r="O8" s="38"/>
      <c r="P8" s="38"/>
      <c r="Q8" s="38"/>
      <c r="R8" s="203"/>
      <c r="S8" s="203"/>
      <c r="T8" s="203"/>
      <c r="U8" s="203"/>
      <c r="V8" s="38"/>
      <c r="W8" s="38"/>
      <c r="X8" s="38"/>
      <c r="Y8" s="38"/>
      <c r="Z8" s="38"/>
      <c r="AA8" s="38"/>
      <c r="AB8" s="38"/>
      <c r="AC8" s="38"/>
      <c r="AD8" s="38"/>
      <c r="AE8" s="38"/>
      <c r="AF8" s="38"/>
      <c r="AG8" s="38"/>
      <c r="AH8" s="38"/>
      <c r="AI8" s="38"/>
      <c r="AJ8" s="38"/>
      <c r="AK8" s="48"/>
      <c r="AL8" s="213"/>
      <c r="AM8" s="38"/>
      <c r="AN8" s="38"/>
      <c r="AO8" s="38"/>
      <c r="AP8" s="38"/>
      <c r="AQ8" s="38"/>
      <c r="AR8" s="38"/>
      <c r="AS8" s="38"/>
      <c r="AT8" s="38"/>
      <c r="AU8" s="48"/>
    </row>
    <row r="9">
      <c r="A9" s="216" t="s">
        <v>1864</v>
      </c>
      <c r="B9" s="38">
        <v>2.0</v>
      </c>
      <c r="C9" s="48"/>
      <c r="E9" s="48"/>
      <c r="K9" s="358" t="s">
        <v>1869</v>
      </c>
      <c r="L9" s="40"/>
      <c r="M9" s="40"/>
      <c r="N9" s="40"/>
      <c r="O9" s="40"/>
      <c r="P9" s="40"/>
      <c r="Q9" s="40"/>
      <c r="R9" s="203"/>
      <c r="S9" s="203"/>
      <c r="T9" s="203"/>
      <c r="U9" s="203"/>
      <c r="V9" s="38"/>
      <c r="W9" s="38"/>
      <c r="X9" s="71"/>
      <c r="Y9" s="38"/>
      <c r="AA9" s="43" t="s">
        <v>551</v>
      </c>
      <c r="AB9" s="38"/>
      <c r="AC9" s="38"/>
      <c r="AD9" s="38"/>
      <c r="AE9" s="38"/>
      <c r="AF9" s="38"/>
      <c r="AG9" s="38"/>
      <c r="AH9" s="38"/>
      <c r="AI9" s="198"/>
      <c r="AJ9" s="38"/>
      <c r="AK9" s="48"/>
      <c r="AL9" s="230" t="s">
        <v>474</v>
      </c>
      <c r="AM9" s="232"/>
      <c r="AN9" s="232"/>
      <c r="AO9" s="232"/>
      <c r="AP9" s="38"/>
      <c r="AQ9" s="38"/>
      <c r="AR9" s="38"/>
      <c r="AS9" s="38"/>
      <c r="AT9" s="38"/>
      <c r="AU9" s="48"/>
    </row>
    <row r="10">
      <c r="A10" s="216" t="s">
        <v>1966</v>
      </c>
      <c r="B10" s="38">
        <v>3.0</v>
      </c>
      <c r="C10" s="48"/>
      <c r="D10" s="38"/>
      <c r="E10" s="48"/>
      <c r="F10" s="38"/>
      <c r="G10" s="38"/>
      <c r="H10" s="38"/>
      <c r="I10" s="38"/>
      <c r="J10" s="38"/>
      <c r="K10" s="38"/>
      <c r="L10" s="38"/>
      <c r="M10" s="38"/>
      <c r="R10" s="203"/>
      <c r="S10" s="203"/>
      <c r="T10" s="203"/>
      <c r="U10" s="203"/>
      <c r="V10" s="112" t="s">
        <v>308</v>
      </c>
      <c r="W10" s="112"/>
      <c r="X10" s="177"/>
      <c r="Z10" s="38"/>
      <c r="AA10" s="179" t="s">
        <v>433</v>
      </c>
      <c r="AB10" s="180"/>
      <c r="AE10" s="179" t="s">
        <v>359</v>
      </c>
      <c r="AF10" s="207"/>
      <c r="AG10" s="235"/>
      <c r="AH10" s="199"/>
      <c r="AI10" s="14"/>
      <c r="AJ10" s="200"/>
      <c r="AK10" s="48"/>
      <c r="AL10" s="248" t="s">
        <v>663</v>
      </c>
      <c r="AM10" s="249"/>
      <c r="AN10" s="249"/>
      <c r="AO10" s="249"/>
      <c r="AP10" s="250"/>
      <c r="AQ10" s="38"/>
      <c r="AR10" s="38"/>
      <c r="AS10" s="38"/>
      <c r="AT10" s="38"/>
      <c r="AU10" s="48"/>
    </row>
    <row r="11" ht="18.75" customHeight="1">
      <c r="A11" s="216" t="s">
        <v>1983</v>
      </c>
      <c r="B11" s="38">
        <v>4.0</v>
      </c>
      <c r="C11" s="48"/>
      <c r="D11" s="38"/>
      <c r="E11" s="48"/>
      <c r="F11" s="38"/>
      <c r="G11" s="38"/>
      <c r="H11" s="38"/>
      <c r="I11" s="38"/>
      <c r="J11" s="38"/>
      <c r="K11" s="38"/>
      <c r="L11" s="38"/>
      <c r="M11" s="38"/>
      <c r="R11" s="203"/>
      <c r="S11" s="203"/>
      <c r="T11" s="203"/>
      <c r="U11" s="203"/>
      <c r="V11" s="43" t="s">
        <v>442</v>
      </c>
      <c r="Y11" s="218" t="s">
        <v>443</v>
      </c>
      <c r="Z11" s="177"/>
      <c r="AA11" s="43" t="s">
        <v>826</v>
      </c>
      <c r="AB11" s="235"/>
      <c r="AC11" s="179" t="s">
        <v>461</v>
      </c>
      <c r="AD11" s="207"/>
      <c r="AF11" s="235"/>
      <c r="AG11" s="179" t="s">
        <v>447</v>
      </c>
      <c r="AH11" s="363"/>
      <c r="AI11" s="364"/>
      <c r="AJ11" s="200"/>
      <c r="AK11" s="48"/>
      <c r="AL11" s="200"/>
      <c r="AM11" s="38"/>
      <c r="AQ11" s="235"/>
      <c r="AR11" s="235"/>
      <c r="AS11" s="38"/>
      <c r="AT11" s="38"/>
      <c r="AU11" s="48"/>
    </row>
    <row r="12">
      <c r="A12" s="216" t="s">
        <v>815</v>
      </c>
      <c r="B12" s="38">
        <v>5.0</v>
      </c>
      <c r="C12" s="48"/>
      <c r="D12" s="38"/>
      <c r="E12" s="48"/>
      <c r="F12" s="38"/>
      <c r="G12" s="38"/>
      <c r="H12" s="38"/>
      <c r="I12" s="38"/>
      <c r="J12" s="38"/>
      <c r="K12" s="38"/>
      <c r="L12" s="38"/>
      <c r="M12" s="38"/>
      <c r="R12" s="203"/>
      <c r="S12" s="203"/>
      <c r="T12" s="203"/>
      <c r="U12" s="203"/>
      <c r="V12" s="71" t="s">
        <v>547</v>
      </c>
      <c r="Y12" s="43" t="s">
        <v>549</v>
      </c>
      <c r="AA12" s="7" t="s">
        <v>859</v>
      </c>
      <c r="AB12" s="38"/>
      <c r="AC12" s="43"/>
      <c r="AF12" s="38"/>
      <c r="AI12" s="365" t="s">
        <v>309</v>
      </c>
      <c r="AJ12" s="207"/>
      <c r="AK12" s="366"/>
      <c r="AP12" s="256"/>
      <c r="AS12" s="38"/>
      <c r="AT12" s="38"/>
      <c r="AU12" s="48"/>
    </row>
    <row r="13">
      <c r="A13" s="216" t="s">
        <v>1993</v>
      </c>
      <c r="B13" s="38">
        <v>6.0</v>
      </c>
      <c r="C13" s="48"/>
      <c r="D13" s="38"/>
      <c r="E13" s="48"/>
      <c r="F13" s="38"/>
      <c r="G13" s="38"/>
      <c r="H13" s="38"/>
      <c r="I13" s="38"/>
      <c r="J13" s="38"/>
      <c r="K13" s="38"/>
      <c r="L13" s="38"/>
      <c r="M13" s="38"/>
      <c r="N13" s="38"/>
      <c r="O13" s="38"/>
      <c r="P13" s="38"/>
      <c r="Q13" s="38"/>
      <c r="R13" s="203"/>
      <c r="S13" s="203"/>
      <c r="T13" s="203"/>
      <c r="U13" s="203"/>
      <c r="Y13" s="253" t="s">
        <v>823</v>
      </c>
      <c r="AB13" s="71"/>
      <c r="AI13" s="7" t="s">
        <v>465</v>
      </c>
      <c r="AK13" s="267"/>
      <c r="AL13" s="200"/>
      <c r="AM13" s="38"/>
      <c r="AN13" s="268"/>
      <c r="AO13" s="38"/>
      <c r="AP13" s="38"/>
      <c r="AQ13" s="38"/>
      <c r="AR13" s="38"/>
      <c r="AS13" s="38"/>
      <c r="AT13" s="38"/>
      <c r="AU13" s="48"/>
    </row>
    <row r="14">
      <c r="A14" s="33"/>
      <c r="B14" s="38">
        <v>7.0</v>
      </c>
      <c r="C14" s="48"/>
      <c r="D14" s="38"/>
      <c r="E14" s="48"/>
      <c r="F14" s="38"/>
      <c r="G14" s="38"/>
      <c r="H14" s="38"/>
      <c r="I14" s="38"/>
      <c r="J14" s="38"/>
      <c r="K14" s="38"/>
      <c r="L14" s="38"/>
      <c r="M14" s="38"/>
      <c r="N14" s="38"/>
      <c r="O14" s="38"/>
      <c r="P14" s="38"/>
      <c r="Q14" s="38"/>
      <c r="R14" s="203"/>
      <c r="S14" s="203"/>
      <c r="T14" s="203"/>
      <c r="U14" s="203"/>
      <c r="Y14" s="71" t="s">
        <v>547</v>
      </c>
      <c r="AK14" s="272"/>
      <c r="AQ14" s="38"/>
      <c r="AR14" s="38"/>
      <c r="AS14" s="38"/>
      <c r="AT14" s="38"/>
      <c r="AU14" s="273"/>
      <c r="AV14" s="38"/>
      <c r="AW14" s="38"/>
      <c r="AX14" s="268"/>
      <c r="AY14" s="268"/>
    </row>
    <row r="15">
      <c r="A15" s="275"/>
      <c r="B15" s="38"/>
      <c r="C15" s="48"/>
      <c r="D15" s="38"/>
      <c r="E15" s="48"/>
      <c r="J15" s="14"/>
      <c r="K15" s="38"/>
      <c r="L15" s="278"/>
      <c r="M15" s="278"/>
      <c r="N15" s="280"/>
      <c r="O15" s="198"/>
      <c r="P15" s="198"/>
      <c r="Q15" s="38"/>
      <c r="R15" s="203"/>
      <c r="S15" s="203"/>
      <c r="T15" s="203"/>
      <c r="U15" s="203"/>
      <c r="AA15" s="14"/>
      <c r="AB15" s="14"/>
      <c r="AC15" s="278"/>
      <c r="AD15" s="38"/>
      <c r="AE15" s="38"/>
      <c r="AF15" s="14"/>
      <c r="AG15" s="14"/>
      <c r="AH15" s="38"/>
      <c r="AK15" s="272"/>
      <c r="AL15" s="38"/>
      <c r="AM15" s="38"/>
      <c r="AN15" s="199"/>
      <c r="AO15" s="199"/>
      <c r="AP15" s="38"/>
      <c r="AQ15" s="38"/>
      <c r="AR15" s="38"/>
      <c r="AS15" s="38"/>
      <c r="AT15" s="38"/>
      <c r="AU15" s="48"/>
    </row>
    <row r="16">
      <c r="A16" s="170" t="s">
        <v>2003</v>
      </c>
      <c r="B16" s="38">
        <v>1.0</v>
      </c>
      <c r="C16" s="172" t="s">
        <v>304</v>
      </c>
      <c r="D16" s="173" t="s">
        <v>305</v>
      </c>
      <c r="E16" s="173"/>
      <c r="F16" s="222" t="s">
        <v>2004</v>
      </c>
      <c r="G16" s="90"/>
      <c r="H16" s="38"/>
      <c r="I16" s="14"/>
      <c r="J16" s="222" t="s">
        <v>2005</v>
      </c>
      <c r="K16" s="90"/>
      <c r="L16" s="38"/>
      <c r="M16" s="14"/>
      <c r="N16" s="222" t="s">
        <v>2006</v>
      </c>
      <c r="O16" s="90"/>
      <c r="P16" s="38"/>
      <c r="Q16" s="14"/>
      <c r="R16" s="203"/>
      <c r="S16" s="203"/>
      <c r="T16" s="203"/>
      <c r="U16" s="203"/>
      <c r="V16" s="222" t="s">
        <v>2007</v>
      </c>
      <c r="W16" s="90"/>
      <c r="X16" s="38"/>
      <c r="Y16" s="14"/>
      <c r="Z16" s="241" t="s">
        <v>2008</v>
      </c>
      <c r="AA16" s="112"/>
      <c r="AB16" s="38"/>
      <c r="AC16" s="14"/>
      <c r="AD16" s="241" t="s">
        <v>2009</v>
      </c>
      <c r="AE16" s="112"/>
      <c r="AF16" s="235"/>
      <c r="AG16" s="235"/>
      <c r="AH16" s="241" t="s">
        <v>467</v>
      </c>
      <c r="AI16" s="112"/>
      <c r="AK16" s="272"/>
      <c r="AL16" s="230" t="s">
        <v>474</v>
      </c>
      <c r="AM16" s="232"/>
      <c r="AN16" s="232"/>
      <c r="AO16" s="232"/>
      <c r="AP16" s="71"/>
      <c r="AQ16" s="38"/>
      <c r="AR16" s="38"/>
      <c r="AS16" s="38"/>
      <c r="AT16" s="38"/>
      <c r="AU16" s="48"/>
    </row>
    <row r="17" ht="15.0" customHeight="1">
      <c r="A17" s="7" t="s">
        <v>2010</v>
      </c>
      <c r="B17" s="38">
        <v>2.0</v>
      </c>
      <c r="C17" s="48"/>
      <c r="D17" s="38"/>
      <c r="E17" s="48"/>
      <c r="H17" s="241" t="s">
        <v>2004</v>
      </c>
      <c r="I17" s="112"/>
      <c r="L17" s="241" t="s">
        <v>2005</v>
      </c>
      <c r="M17" s="112"/>
      <c r="P17" s="241" t="s">
        <v>2006</v>
      </c>
      <c r="Q17" s="112"/>
      <c r="R17" s="203"/>
      <c r="S17" s="203"/>
      <c r="T17" s="203"/>
      <c r="U17" s="203"/>
      <c r="X17" s="241" t="s">
        <v>2007</v>
      </c>
      <c r="Y17" s="112"/>
      <c r="Z17" s="7" t="s">
        <v>2011</v>
      </c>
      <c r="AB17" s="241" t="s">
        <v>2008</v>
      </c>
      <c r="AC17" s="112"/>
      <c r="AD17" s="38"/>
      <c r="AF17" s="241" t="s">
        <v>2009</v>
      </c>
      <c r="AG17" s="112"/>
      <c r="AJ17" s="241" t="s">
        <v>467</v>
      </c>
      <c r="AK17" s="309"/>
      <c r="AL17" s="200"/>
      <c r="AM17" s="38"/>
      <c r="AN17" s="38"/>
      <c r="AO17" s="38"/>
      <c r="AP17" s="295"/>
      <c r="AQ17" s="38"/>
      <c r="AR17" s="38"/>
      <c r="AS17" s="38"/>
      <c r="AT17" s="38"/>
      <c r="AU17" s="48"/>
    </row>
    <row r="18">
      <c r="A18" s="7" t="s">
        <v>2012</v>
      </c>
      <c r="B18" s="38">
        <v>3.0</v>
      </c>
      <c r="C18" s="48"/>
      <c r="D18" s="38"/>
      <c r="E18" s="48"/>
      <c r="R18" s="203"/>
      <c r="S18" s="203"/>
      <c r="T18" s="203"/>
      <c r="U18" s="203"/>
      <c r="AA18" s="38"/>
      <c r="AB18" s="38"/>
      <c r="AJ18" s="38"/>
      <c r="AK18" s="48"/>
      <c r="AM18" s="38"/>
      <c r="AN18" s="38"/>
      <c r="AO18" s="38"/>
      <c r="AP18" s="38"/>
      <c r="AQ18" s="38"/>
      <c r="AR18" s="38"/>
      <c r="AS18" s="38"/>
      <c r="AT18" s="38"/>
      <c r="AU18" s="48"/>
    </row>
    <row r="19">
      <c r="A19" s="216" t="s">
        <v>2013</v>
      </c>
      <c r="B19" s="38">
        <v>4.0</v>
      </c>
      <c r="C19" s="48"/>
      <c r="D19" s="38"/>
      <c r="E19" s="48"/>
      <c r="R19" s="203"/>
      <c r="S19" s="203"/>
      <c r="T19" s="203"/>
      <c r="U19" s="203"/>
      <c r="AK19" s="48"/>
      <c r="AM19" s="38"/>
      <c r="AN19" s="38"/>
      <c r="AO19" s="38"/>
      <c r="AP19" s="38"/>
      <c r="AQ19" s="38"/>
      <c r="AR19" s="38"/>
      <c r="AS19" s="38"/>
      <c r="AT19" s="38"/>
      <c r="AU19" s="48"/>
    </row>
    <row r="20" ht="15.75" customHeight="1">
      <c r="A20" s="33"/>
      <c r="B20" s="38"/>
      <c r="C20" s="48"/>
      <c r="D20" s="38"/>
      <c r="E20" s="48"/>
      <c r="F20" s="38"/>
      <c r="G20" s="38"/>
      <c r="H20" s="38"/>
      <c r="I20" s="38"/>
      <c r="J20" s="38"/>
      <c r="K20" s="38"/>
      <c r="L20" s="38"/>
      <c r="M20" s="198"/>
      <c r="N20" s="38"/>
      <c r="O20" s="38"/>
      <c r="P20" s="38"/>
      <c r="Q20" s="38"/>
      <c r="R20" s="203"/>
      <c r="S20" s="203"/>
      <c r="T20" s="203"/>
      <c r="U20" s="203"/>
      <c r="V20" s="38"/>
      <c r="W20" s="38"/>
      <c r="X20" s="38"/>
      <c r="Y20" s="38"/>
      <c r="Z20" s="38"/>
      <c r="AA20" s="38"/>
      <c r="AB20" s="38"/>
      <c r="AC20" s="38"/>
      <c r="AD20" s="38"/>
      <c r="AE20" s="38"/>
      <c r="AF20" s="38"/>
      <c r="AG20" s="38"/>
      <c r="AH20" s="38"/>
      <c r="AI20" s="38"/>
      <c r="AJ20" s="38"/>
      <c r="AK20" s="48"/>
      <c r="AL20" s="38"/>
      <c r="AM20" s="38"/>
      <c r="AN20" s="38"/>
      <c r="AO20" s="38"/>
      <c r="AP20" s="38"/>
      <c r="AQ20" s="38"/>
      <c r="AR20" s="38"/>
      <c r="AS20" s="38"/>
      <c r="AT20" s="38"/>
      <c r="AU20" s="48"/>
    </row>
    <row r="21" ht="15.75" customHeight="1">
      <c r="A21" s="170" t="s">
        <v>2018</v>
      </c>
      <c r="B21" s="38">
        <v>1.0</v>
      </c>
      <c r="C21" s="48"/>
      <c r="D21" s="173" t="s">
        <v>305</v>
      </c>
      <c r="E21" s="173"/>
      <c r="F21" s="222" t="s">
        <v>2022</v>
      </c>
      <c r="G21" s="90"/>
      <c r="H21" s="38"/>
      <c r="I21" s="235"/>
      <c r="J21" s="222" t="s">
        <v>470</v>
      </c>
      <c r="K21" s="90"/>
      <c r="L21" s="38"/>
      <c r="M21" s="235"/>
      <c r="N21" s="241" t="s">
        <v>2023</v>
      </c>
      <c r="O21" s="112"/>
      <c r="R21" s="203"/>
      <c r="S21" s="203"/>
      <c r="T21" s="203"/>
      <c r="U21" s="203"/>
      <c r="V21" s="299" t="s">
        <v>2025</v>
      </c>
      <c r="W21" s="180"/>
      <c r="X21" s="180"/>
      <c r="Y21" s="180"/>
      <c r="AC21" s="299" t="s">
        <v>2026</v>
      </c>
      <c r="AD21" s="180"/>
      <c r="AE21" s="180"/>
      <c r="AF21" s="180"/>
      <c r="AG21" s="180"/>
      <c r="AH21" s="38"/>
      <c r="AI21" s="38"/>
      <c r="AJ21" s="38"/>
      <c r="AK21" s="367"/>
      <c r="AL21" s="301" t="s">
        <v>474</v>
      </c>
      <c r="AM21" s="232"/>
      <c r="AN21" s="232"/>
      <c r="AO21" s="232"/>
      <c r="AP21" s="295"/>
      <c r="AQ21" s="38"/>
      <c r="AR21" s="38"/>
      <c r="AS21" s="38"/>
      <c r="AT21" s="38"/>
      <c r="AU21" s="48"/>
    </row>
    <row r="22" ht="15.75" customHeight="1">
      <c r="A22" s="216" t="s">
        <v>2029</v>
      </c>
      <c r="B22" s="38">
        <v>2.0</v>
      </c>
      <c r="C22" s="48"/>
      <c r="D22" s="38"/>
      <c r="E22" s="48"/>
      <c r="F22" s="38"/>
      <c r="G22" s="38"/>
      <c r="H22" s="241" t="s">
        <v>2022</v>
      </c>
      <c r="I22" s="112"/>
      <c r="L22" s="241" t="s">
        <v>470</v>
      </c>
      <c r="M22" s="112"/>
      <c r="P22" s="241" t="s">
        <v>2023</v>
      </c>
      <c r="Q22" s="112"/>
      <c r="R22" s="203"/>
      <c r="S22" s="203"/>
      <c r="T22" s="203"/>
      <c r="U22" s="203"/>
      <c r="V22" s="7" t="s">
        <v>1027</v>
      </c>
      <c r="Z22" s="294" t="s">
        <v>2025</v>
      </c>
      <c r="AA22" s="177"/>
      <c r="AB22" s="177"/>
      <c r="AC22" s="7" t="s">
        <v>2032</v>
      </c>
      <c r="AH22" s="294" t="s">
        <v>2033</v>
      </c>
      <c r="AI22" s="177"/>
      <c r="AJ22" s="309"/>
      <c r="AK22" s="309"/>
      <c r="AL22" s="38"/>
      <c r="AM22" s="38"/>
      <c r="AN22" s="38"/>
      <c r="AO22" s="38"/>
      <c r="AP22" s="38"/>
      <c r="AQ22" s="38"/>
      <c r="AR22" s="38"/>
      <c r="AS22" s="38"/>
      <c r="AT22" s="38"/>
      <c r="AU22" s="48"/>
    </row>
    <row r="23" ht="15.75" customHeight="1">
      <c r="A23" s="7" t="s">
        <v>2034</v>
      </c>
      <c r="B23" s="38">
        <v>3.0</v>
      </c>
      <c r="C23" s="48"/>
      <c r="D23" s="38"/>
      <c r="E23" s="48"/>
      <c r="R23" s="203"/>
      <c r="S23" s="203"/>
      <c r="T23" s="203"/>
      <c r="U23" s="203"/>
      <c r="AC23" s="38"/>
      <c r="AD23" s="38"/>
      <c r="AH23" s="368"/>
      <c r="AI23" s="38"/>
      <c r="AJ23" s="38"/>
      <c r="AK23" s="48"/>
      <c r="AL23" s="38"/>
      <c r="AM23" s="38"/>
      <c r="AN23" s="38"/>
      <c r="AO23" s="38"/>
      <c r="AP23" s="38"/>
      <c r="AQ23" s="38"/>
      <c r="AR23" s="38"/>
      <c r="AS23" s="38"/>
      <c r="AT23" s="38"/>
      <c r="AU23" s="48"/>
    </row>
    <row r="24" ht="15.75" customHeight="1">
      <c r="A24" s="216" t="s">
        <v>2035</v>
      </c>
      <c r="B24" s="38">
        <v>4.0</v>
      </c>
      <c r="C24" s="48"/>
      <c r="D24" s="38"/>
      <c r="E24" s="48"/>
      <c r="R24" s="203"/>
      <c r="S24" s="203"/>
      <c r="T24" s="203"/>
      <c r="U24" s="203"/>
      <c r="AK24" s="48"/>
      <c r="AL24" s="38"/>
      <c r="AM24" s="38"/>
      <c r="AN24" s="38"/>
      <c r="AO24" s="38"/>
      <c r="AP24" s="38"/>
      <c r="AQ24" s="38"/>
      <c r="AR24" s="38"/>
      <c r="AS24" s="38"/>
      <c r="AT24" s="38"/>
      <c r="AU24" s="48"/>
    </row>
    <row r="25" ht="15.75" customHeight="1">
      <c r="B25" s="38">
        <v>5.0</v>
      </c>
      <c r="C25" s="48"/>
      <c r="D25" s="38"/>
      <c r="E25" s="48"/>
      <c r="R25" s="203"/>
      <c r="S25" s="203"/>
      <c r="T25" s="203"/>
      <c r="U25" s="203"/>
      <c r="AK25" s="48"/>
      <c r="AL25" s="38"/>
      <c r="AM25" s="38"/>
      <c r="AN25" s="38"/>
      <c r="AO25" s="38"/>
      <c r="AP25" s="38"/>
      <c r="AQ25" s="38"/>
      <c r="AR25" s="38"/>
      <c r="AS25" s="38"/>
      <c r="AT25" s="38"/>
      <c r="AU25" s="48"/>
    </row>
    <row r="26" ht="15.75" customHeight="1">
      <c r="A26" s="33"/>
      <c r="B26" s="38"/>
      <c r="C26" s="48"/>
      <c r="D26" s="38"/>
      <c r="E26" s="48"/>
      <c r="R26" s="203"/>
      <c r="S26" s="203"/>
      <c r="T26" s="203"/>
      <c r="U26" s="203"/>
      <c r="AK26" s="48"/>
      <c r="AL26" s="38"/>
      <c r="AM26" s="38"/>
      <c r="AN26" s="38"/>
      <c r="AO26" s="38"/>
      <c r="AP26" s="38"/>
      <c r="AQ26" s="38"/>
      <c r="AR26" s="38"/>
      <c r="AS26" s="38"/>
      <c r="AT26" s="38"/>
      <c r="AU26" s="48"/>
    </row>
    <row r="27" ht="15.75" customHeight="1">
      <c r="A27" s="170" t="s">
        <v>2036</v>
      </c>
      <c r="B27" s="38">
        <v>1.0</v>
      </c>
      <c r="C27" s="48"/>
      <c r="D27" s="173" t="s">
        <v>305</v>
      </c>
      <c r="E27" s="173"/>
      <c r="F27" s="299" t="s">
        <v>2037</v>
      </c>
      <c r="G27" s="180"/>
      <c r="H27" s="180"/>
      <c r="I27" s="180"/>
      <c r="M27" s="299" t="s">
        <v>1990</v>
      </c>
      <c r="N27" s="180"/>
      <c r="O27" s="180"/>
      <c r="P27" s="300"/>
      <c r="Q27" s="300"/>
      <c r="R27" s="203"/>
      <c r="S27" s="203"/>
      <c r="T27" s="203"/>
      <c r="U27" s="203"/>
      <c r="V27" s="299" t="s">
        <v>2038</v>
      </c>
      <c r="W27" s="180"/>
      <c r="X27" s="180"/>
      <c r="Y27" s="180"/>
      <c r="AC27" s="299" t="s">
        <v>1992</v>
      </c>
      <c r="AD27" s="180"/>
      <c r="AE27" s="180"/>
      <c r="AF27" s="180"/>
      <c r="AJ27" s="250"/>
      <c r="AK27" s="48"/>
      <c r="AL27" s="230" t="s">
        <v>474</v>
      </c>
      <c r="AM27" s="232"/>
      <c r="AN27" s="232"/>
      <c r="AO27" s="232"/>
      <c r="AP27" s="38"/>
      <c r="AQ27" s="38"/>
      <c r="AR27" s="38"/>
      <c r="AS27" s="38"/>
      <c r="AT27" s="38"/>
      <c r="AU27" s="48"/>
    </row>
    <row r="28" ht="15.75" customHeight="1">
      <c r="A28" s="216" t="s">
        <v>2039</v>
      </c>
      <c r="B28" s="38">
        <v>2.0</v>
      </c>
      <c r="C28" s="48"/>
      <c r="D28" s="38"/>
      <c r="E28" s="48"/>
      <c r="F28" s="7" t="s">
        <v>2040</v>
      </c>
      <c r="J28" s="294" t="s">
        <v>2037</v>
      </c>
      <c r="K28" s="177"/>
      <c r="L28" s="177"/>
      <c r="M28" s="7" t="s">
        <v>1567</v>
      </c>
      <c r="P28" s="294" t="s">
        <v>1997</v>
      </c>
      <c r="Q28" s="177"/>
      <c r="R28" s="203"/>
      <c r="S28" s="203"/>
      <c r="T28" s="203"/>
      <c r="U28" s="203"/>
      <c r="V28" s="7" t="s">
        <v>2041</v>
      </c>
      <c r="Z28" s="294" t="s">
        <v>2042</v>
      </c>
      <c r="AA28" s="177"/>
      <c r="AB28" s="177"/>
      <c r="AC28" s="7" t="s">
        <v>2043</v>
      </c>
      <c r="AG28" s="294" t="s">
        <v>2044</v>
      </c>
      <c r="AH28" s="177"/>
      <c r="AI28" s="177"/>
      <c r="AJ28" s="112"/>
      <c r="AK28" s="309"/>
      <c r="AL28" s="38"/>
      <c r="AM28" s="38"/>
      <c r="AN28" s="38"/>
      <c r="AO28" s="38"/>
      <c r="AP28" s="38"/>
      <c r="AQ28" s="38"/>
      <c r="AR28" s="38"/>
      <c r="AS28" s="38"/>
      <c r="AT28" s="38"/>
      <c r="AU28" s="48"/>
    </row>
    <row r="29" ht="15.75" customHeight="1">
      <c r="A29" s="216" t="s">
        <v>2045</v>
      </c>
      <c r="B29" s="38">
        <v>3.0</v>
      </c>
      <c r="C29" s="48"/>
      <c r="D29" s="38"/>
      <c r="E29" s="48"/>
      <c r="I29" s="38"/>
      <c r="J29" s="38"/>
      <c r="R29" s="203"/>
      <c r="S29" s="203"/>
      <c r="T29" s="203"/>
      <c r="U29" s="203"/>
      <c r="Y29" s="38"/>
      <c r="Z29" s="38"/>
      <c r="AF29" s="38"/>
      <c r="AG29" s="38"/>
      <c r="AJ29" s="38"/>
      <c r="AK29" s="48"/>
      <c r="AL29" s="38"/>
      <c r="AM29" s="38"/>
      <c r="AN29" s="38"/>
      <c r="AO29" s="38"/>
      <c r="AP29" s="38"/>
      <c r="AQ29" s="38"/>
      <c r="AR29" s="38"/>
      <c r="AS29" s="38"/>
      <c r="AT29" s="38"/>
      <c r="AU29" s="48"/>
    </row>
    <row r="30" ht="15.75" customHeight="1">
      <c r="A30" s="33"/>
      <c r="B30" s="38">
        <v>4.0</v>
      </c>
      <c r="C30" s="48"/>
      <c r="D30" s="38"/>
      <c r="E30" s="48"/>
      <c r="R30" s="203"/>
      <c r="S30" s="203"/>
      <c r="T30" s="203"/>
      <c r="U30" s="203"/>
      <c r="AK30" s="267"/>
      <c r="AL30" s="200"/>
      <c r="AM30" s="38"/>
      <c r="AN30" s="38"/>
      <c r="AO30" s="38"/>
      <c r="AP30" s="38"/>
      <c r="AQ30" s="38"/>
      <c r="AR30" s="38"/>
      <c r="AS30" s="38"/>
      <c r="AT30" s="38"/>
      <c r="AU30" s="48"/>
    </row>
    <row r="31" ht="15.75" customHeight="1">
      <c r="A31" s="33"/>
      <c r="B31" s="38">
        <v>5.0</v>
      </c>
      <c r="C31" s="48"/>
      <c r="D31" s="38"/>
      <c r="E31" s="48"/>
      <c r="R31" s="203"/>
      <c r="S31" s="203"/>
      <c r="T31" s="203"/>
      <c r="U31" s="203"/>
      <c r="AK31" s="48"/>
      <c r="AL31" s="38"/>
      <c r="AM31" s="38"/>
      <c r="AN31" s="38"/>
      <c r="AO31" s="38"/>
      <c r="AP31" s="38"/>
      <c r="AQ31" s="38"/>
      <c r="AR31" s="38"/>
      <c r="AS31" s="38"/>
      <c r="AT31" s="38"/>
      <c r="AU31" s="48"/>
    </row>
    <row r="32" ht="15.75" customHeight="1">
      <c r="A32" s="170" t="s">
        <v>2049</v>
      </c>
      <c r="B32" s="38">
        <v>1.0</v>
      </c>
      <c r="C32" s="48"/>
      <c r="D32" s="173" t="s">
        <v>305</v>
      </c>
      <c r="E32" s="173"/>
      <c r="F32" s="299" t="s">
        <v>1410</v>
      </c>
      <c r="G32" s="180"/>
      <c r="H32" s="180"/>
      <c r="I32" s="180"/>
      <c r="M32" s="299" t="s">
        <v>1224</v>
      </c>
      <c r="N32" s="180"/>
      <c r="O32" s="180"/>
      <c r="P32" s="300"/>
      <c r="Q32" s="300"/>
      <c r="R32" s="203"/>
      <c r="S32" s="203"/>
      <c r="T32" s="203"/>
      <c r="U32" s="203"/>
      <c r="V32" s="299" t="s">
        <v>1417</v>
      </c>
      <c r="W32" s="180"/>
      <c r="X32" s="180"/>
      <c r="Y32" s="180"/>
      <c r="AC32" s="299" t="s">
        <v>1419</v>
      </c>
      <c r="AD32" s="180"/>
      <c r="AE32" s="180"/>
      <c r="AF32" s="180"/>
      <c r="AJ32" s="250"/>
      <c r="AK32" s="48"/>
      <c r="AL32" s="230" t="s">
        <v>474</v>
      </c>
      <c r="AM32" s="232"/>
      <c r="AN32" s="232"/>
      <c r="AO32" s="232"/>
      <c r="AP32" s="38"/>
      <c r="AQ32" s="38"/>
      <c r="AR32" s="38"/>
      <c r="AS32" s="38"/>
      <c r="AT32" s="38"/>
      <c r="AU32" s="48"/>
    </row>
    <row r="33" ht="15.75" customHeight="1">
      <c r="A33" s="216" t="s">
        <v>2053</v>
      </c>
      <c r="B33" s="38">
        <v>2.0</v>
      </c>
      <c r="C33" s="48"/>
      <c r="D33" s="38"/>
      <c r="E33" s="48"/>
      <c r="F33" s="7" t="s">
        <v>1257</v>
      </c>
      <c r="J33" s="294" t="s">
        <v>1410</v>
      </c>
      <c r="K33" s="177"/>
      <c r="L33" s="177"/>
      <c r="M33" s="7" t="s">
        <v>1258</v>
      </c>
      <c r="P33" s="294" t="s">
        <v>1224</v>
      </c>
      <c r="Q33" s="177"/>
      <c r="R33" s="203"/>
      <c r="S33" s="203"/>
      <c r="T33" s="203"/>
      <c r="U33" s="203"/>
      <c r="V33" s="7" t="s">
        <v>1440</v>
      </c>
      <c r="Z33" s="294" t="s">
        <v>1417</v>
      </c>
      <c r="AA33" s="177"/>
      <c r="AB33" s="177"/>
      <c r="AC33" s="7" t="s">
        <v>1443</v>
      </c>
      <c r="AG33" s="294" t="s">
        <v>1419</v>
      </c>
      <c r="AH33" s="177"/>
      <c r="AI33" s="177"/>
      <c r="AJ33" s="112"/>
      <c r="AK33" s="309"/>
      <c r="AL33" s="38"/>
      <c r="AM33" s="38"/>
      <c r="AN33" s="38"/>
      <c r="AO33" s="38"/>
      <c r="AP33" s="38"/>
      <c r="AQ33" s="38"/>
      <c r="AR33" s="38"/>
      <c r="AS33" s="38"/>
      <c r="AT33" s="38"/>
      <c r="AU33" s="48"/>
    </row>
    <row r="34" ht="15.75" customHeight="1">
      <c r="A34" s="216" t="s">
        <v>2055</v>
      </c>
      <c r="B34" s="38">
        <v>3.0</v>
      </c>
      <c r="C34" s="48"/>
      <c r="D34" s="38"/>
      <c r="E34" s="48"/>
      <c r="I34" s="38"/>
      <c r="J34" s="38"/>
      <c r="R34" s="203"/>
      <c r="S34" s="203"/>
      <c r="T34" s="203"/>
      <c r="U34" s="203"/>
      <c r="Y34" s="38"/>
      <c r="Z34" s="38"/>
      <c r="AF34" s="38"/>
      <c r="AG34" s="38"/>
      <c r="AJ34" s="38"/>
      <c r="AK34" s="48"/>
      <c r="AL34" s="38"/>
      <c r="AM34" s="38"/>
      <c r="AN34" s="38"/>
      <c r="AO34" s="38"/>
      <c r="AP34" s="38"/>
      <c r="AQ34" s="38"/>
      <c r="AR34" s="38"/>
      <c r="AS34" s="38"/>
      <c r="AT34" s="38"/>
      <c r="AU34" s="48"/>
    </row>
    <row r="35" ht="15.75" customHeight="1">
      <c r="A35" s="33"/>
      <c r="B35" s="38">
        <v>4.0</v>
      </c>
      <c r="C35" s="48"/>
      <c r="D35" s="38"/>
      <c r="E35" s="48"/>
      <c r="R35" s="203"/>
      <c r="S35" s="203"/>
      <c r="T35" s="203"/>
      <c r="U35" s="203"/>
      <c r="AK35" s="48"/>
      <c r="AL35" s="200"/>
      <c r="AM35" s="38"/>
      <c r="AN35" s="38"/>
      <c r="AO35" s="38"/>
      <c r="AP35" s="38"/>
      <c r="AQ35" s="38"/>
      <c r="AR35" s="38"/>
      <c r="AS35" s="38"/>
      <c r="AT35" s="38"/>
      <c r="AU35" s="48"/>
    </row>
    <row r="36" ht="15.75" customHeight="1">
      <c r="A36" s="33"/>
      <c r="B36" s="38">
        <v>5.0</v>
      </c>
      <c r="C36" s="48"/>
      <c r="D36" s="38"/>
      <c r="E36" s="48"/>
      <c r="G36" s="38"/>
      <c r="H36" s="38"/>
      <c r="I36" s="38"/>
      <c r="J36" s="38"/>
      <c r="K36" s="38"/>
      <c r="L36" s="38"/>
      <c r="M36" s="38"/>
      <c r="N36" s="38"/>
      <c r="O36" s="38"/>
      <c r="P36" s="38"/>
      <c r="Q36" s="38"/>
      <c r="R36" s="203"/>
      <c r="S36" s="203"/>
      <c r="T36" s="203"/>
      <c r="U36" s="203"/>
      <c r="AK36" s="48"/>
      <c r="AL36" s="38"/>
      <c r="AM36" s="38"/>
      <c r="AN36" s="38"/>
      <c r="AO36" s="38"/>
      <c r="AP36" s="38"/>
      <c r="AQ36" s="38"/>
      <c r="AR36" s="38"/>
      <c r="AS36" s="38"/>
      <c r="AT36" s="38"/>
      <c r="AU36" s="48"/>
    </row>
    <row r="37" ht="15.75" customHeight="1">
      <c r="A37" s="316"/>
      <c r="B37" s="317"/>
      <c r="C37" s="317"/>
      <c r="D37" s="38"/>
      <c r="E37" s="48"/>
      <c r="F37" s="38"/>
      <c r="G37" s="38"/>
      <c r="H37" s="38"/>
      <c r="I37" s="38"/>
      <c r="J37" s="38"/>
      <c r="K37" s="38"/>
      <c r="L37" s="38"/>
      <c r="M37" s="38"/>
      <c r="N37" s="38"/>
      <c r="O37" s="38"/>
      <c r="P37" s="38"/>
      <c r="Q37" s="38"/>
      <c r="R37" s="203"/>
      <c r="S37" s="203"/>
      <c r="T37" s="203"/>
      <c r="U37" s="203"/>
      <c r="V37" s="38"/>
      <c r="W37" s="38"/>
      <c r="X37" s="38"/>
      <c r="Y37" s="38"/>
      <c r="Z37" s="38"/>
      <c r="AA37" s="38"/>
      <c r="AB37" s="38"/>
      <c r="AC37" s="38"/>
      <c r="AD37" s="38"/>
      <c r="AE37" s="38"/>
      <c r="AF37" s="38"/>
      <c r="AG37" s="38"/>
      <c r="AH37" s="38"/>
      <c r="AI37" s="38"/>
      <c r="AJ37" s="38"/>
      <c r="AK37" s="48"/>
      <c r="AL37" s="38"/>
      <c r="AM37" s="38"/>
      <c r="AN37" s="38"/>
      <c r="AO37" s="38"/>
      <c r="AP37" s="38"/>
      <c r="AQ37" s="38"/>
      <c r="AR37" s="38"/>
      <c r="AS37" s="38"/>
      <c r="AT37" s="38"/>
      <c r="AU37" s="48"/>
    </row>
    <row r="38" ht="15.75" customHeight="1">
      <c r="A38" s="316"/>
      <c r="B38" s="317"/>
      <c r="C38" s="317"/>
      <c r="D38" s="38"/>
      <c r="E38" s="48"/>
      <c r="F38" s="38"/>
      <c r="G38" s="38"/>
      <c r="H38" s="38"/>
      <c r="I38" s="38"/>
      <c r="J38" s="38"/>
      <c r="K38" s="38"/>
      <c r="L38" s="38"/>
      <c r="M38" s="38"/>
      <c r="N38" s="38"/>
      <c r="O38" s="38"/>
      <c r="P38" s="38"/>
      <c r="Q38" s="38"/>
      <c r="R38" s="203"/>
      <c r="S38" s="203"/>
      <c r="T38" s="203"/>
      <c r="U38" s="203"/>
      <c r="V38" s="38"/>
      <c r="W38" s="38"/>
      <c r="X38" s="38"/>
      <c r="Y38" s="38"/>
      <c r="Z38" s="38"/>
      <c r="AA38" s="38"/>
      <c r="AB38" s="38"/>
      <c r="AC38" s="38"/>
      <c r="AD38" s="38"/>
      <c r="AE38" s="38"/>
      <c r="AF38" s="38"/>
      <c r="AG38" s="38"/>
      <c r="AH38" s="38"/>
      <c r="AI38" s="38"/>
      <c r="AJ38" s="38"/>
      <c r="AK38" s="48"/>
      <c r="AL38" s="38"/>
      <c r="AM38" s="38"/>
      <c r="AN38" s="38"/>
      <c r="AO38" s="38"/>
      <c r="AP38" s="38"/>
      <c r="AQ38" s="38"/>
      <c r="AR38" s="38"/>
      <c r="AS38" s="38"/>
      <c r="AT38" s="38"/>
      <c r="AU38" s="48"/>
    </row>
    <row r="39" ht="15.75" customHeight="1">
      <c r="A39" s="326" t="s">
        <v>2056</v>
      </c>
      <c r="B39" s="317">
        <v>1.0</v>
      </c>
      <c r="C39" s="317"/>
      <c r="D39" s="173" t="s">
        <v>305</v>
      </c>
      <c r="E39" s="60"/>
      <c r="F39" s="299" t="s">
        <v>1544</v>
      </c>
      <c r="G39" s="180"/>
      <c r="H39" s="180"/>
      <c r="I39" s="180"/>
      <c r="M39" s="299" t="s">
        <v>1547</v>
      </c>
      <c r="N39" s="180"/>
      <c r="O39" s="180"/>
      <c r="P39" s="180"/>
      <c r="R39" s="203"/>
      <c r="S39" s="203"/>
      <c r="T39" s="203"/>
      <c r="U39" s="203"/>
      <c r="V39" s="299" t="s">
        <v>1549</v>
      </c>
      <c r="W39" s="180"/>
      <c r="X39" s="180"/>
      <c r="Y39" s="180"/>
      <c r="AC39" s="299" t="s">
        <v>1551</v>
      </c>
      <c r="AD39" s="180"/>
      <c r="AG39" s="299" t="s">
        <v>1552</v>
      </c>
      <c r="AH39" s="180"/>
      <c r="AJ39" s="299" t="s">
        <v>1553</v>
      </c>
      <c r="AK39" s="180"/>
      <c r="AL39" s="230" t="s">
        <v>474</v>
      </c>
      <c r="AM39" s="232"/>
      <c r="AN39" s="232"/>
      <c r="AO39" s="232"/>
      <c r="AP39" s="38"/>
      <c r="AQ39" s="38"/>
      <c r="AR39" s="38"/>
      <c r="AS39" s="38"/>
      <c r="AT39" s="38"/>
      <c r="AU39" s="48"/>
    </row>
    <row r="40" ht="15.75" customHeight="1">
      <c r="A40" s="216" t="s">
        <v>2063</v>
      </c>
      <c r="B40" s="317">
        <v>2.0</v>
      </c>
      <c r="C40" s="317"/>
      <c r="D40" s="38"/>
      <c r="E40" s="48"/>
      <c r="F40" s="7" t="s">
        <v>1561</v>
      </c>
      <c r="J40" s="294" t="s">
        <v>1544</v>
      </c>
      <c r="K40" s="177"/>
      <c r="L40" s="177"/>
      <c r="M40" s="7" t="s">
        <v>1564</v>
      </c>
      <c r="Q40" s="294" t="s">
        <v>1547</v>
      </c>
      <c r="R40" s="203"/>
      <c r="S40" s="203"/>
      <c r="T40" s="203"/>
      <c r="U40" s="203"/>
      <c r="V40" s="7" t="s">
        <v>1565</v>
      </c>
      <c r="Z40" s="294" t="s">
        <v>1549</v>
      </c>
      <c r="AA40" s="177"/>
      <c r="AB40" s="177"/>
      <c r="AC40" s="7" t="s">
        <v>1566</v>
      </c>
      <c r="AE40" s="294" t="s">
        <v>1551</v>
      </c>
      <c r="AF40" s="177"/>
      <c r="AI40" s="297" t="s">
        <v>1552</v>
      </c>
      <c r="AJ40" s="7" t="s">
        <v>1567</v>
      </c>
      <c r="AL40" s="38"/>
      <c r="AM40" s="38"/>
      <c r="AN40" s="38"/>
      <c r="AO40" s="38"/>
      <c r="AP40" s="38"/>
      <c r="AQ40" s="38"/>
      <c r="AR40" s="38"/>
      <c r="AS40" s="38"/>
      <c r="AT40" s="38"/>
      <c r="AU40" s="48"/>
    </row>
    <row r="41" ht="15.75" customHeight="1">
      <c r="A41" s="216" t="s">
        <v>2066</v>
      </c>
      <c r="B41" s="317">
        <v>3.0</v>
      </c>
      <c r="C41" s="317"/>
      <c r="D41" s="38"/>
      <c r="E41" s="48"/>
      <c r="G41" s="38"/>
      <c r="H41" s="38"/>
      <c r="J41" s="14"/>
      <c r="L41" s="38"/>
      <c r="M41" s="38"/>
      <c r="Q41" s="14"/>
      <c r="R41" s="203"/>
      <c r="S41" s="203"/>
      <c r="T41" s="203"/>
      <c r="U41" s="203"/>
      <c r="AC41" s="14"/>
      <c r="AK41" s="48"/>
      <c r="AL41" s="38"/>
      <c r="AM41" s="38"/>
      <c r="AN41" s="38"/>
      <c r="AO41" s="38"/>
      <c r="AP41" s="38"/>
      <c r="AQ41" s="38"/>
      <c r="AR41" s="38"/>
      <c r="AS41" s="38"/>
      <c r="AT41" s="38"/>
      <c r="AU41" s="48"/>
    </row>
    <row r="42" ht="15.75" customHeight="1">
      <c r="A42" s="216" t="s">
        <v>1588</v>
      </c>
      <c r="B42" s="317">
        <v>4.0</v>
      </c>
      <c r="C42" s="317"/>
      <c r="D42" s="38"/>
      <c r="E42" s="48"/>
      <c r="F42" s="38"/>
      <c r="G42" s="38"/>
      <c r="H42" s="38"/>
      <c r="I42" s="38"/>
      <c r="J42" s="38"/>
      <c r="K42" s="38"/>
      <c r="L42" s="38"/>
      <c r="M42" s="38"/>
      <c r="N42" s="38"/>
      <c r="O42" s="38"/>
      <c r="P42" s="38"/>
      <c r="Q42" s="38"/>
      <c r="R42" s="203"/>
      <c r="S42" s="203"/>
      <c r="T42" s="203"/>
      <c r="U42" s="203"/>
      <c r="AK42" s="48"/>
      <c r="AL42" s="38"/>
      <c r="AM42" s="38"/>
      <c r="AN42" s="38"/>
      <c r="AO42" s="38"/>
      <c r="AP42" s="38"/>
      <c r="AQ42" s="38"/>
      <c r="AR42" s="38"/>
      <c r="AS42" s="38"/>
      <c r="AT42" s="38"/>
      <c r="AU42" s="48"/>
    </row>
    <row r="43" ht="15.75" customHeight="1">
      <c r="A43" s="33"/>
      <c r="B43" s="317">
        <v>5.0</v>
      </c>
      <c r="C43" s="317"/>
      <c r="D43" s="38"/>
      <c r="E43" s="48"/>
      <c r="F43" s="38"/>
      <c r="G43" s="38"/>
      <c r="H43" s="38"/>
      <c r="I43" s="38"/>
      <c r="J43" s="38"/>
      <c r="K43" s="38"/>
      <c r="L43" s="38"/>
      <c r="M43" s="38"/>
      <c r="N43" s="38"/>
      <c r="O43" s="38"/>
      <c r="P43" s="38"/>
      <c r="Q43" s="38"/>
      <c r="R43" s="203"/>
      <c r="S43" s="203"/>
      <c r="T43" s="203"/>
      <c r="U43" s="203"/>
      <c r="V43" s="38"/>
      <c r="W43" s="38"/>
      <c r="X43" s="38"/>
      <c r="Y43" s="38"/>
      <c r="Z43" s="38"/>
      <c r="AA43" s="38"/>
      <c r="AB43" s="38"/>
      <c r="AC43" s="38"/>
      <c r="AD43" s="38"/>
      <c r="AE43" s="38"/>
      <c r="AF43" s="38"/>
      <c r="AG43" s="38"/>
      <c r="AH43" s="38"/>
      <c r="AI43" s="38"/>
      <c r="AJ43" s="38"/>
      <c r="AK43" s="48"/>
      <c r="AL43" s="38"/>
      <c r="AM43" s="38"/>
      <c r="AN43" s="38"/>
      <c r="AO43" s="38"/>
      <c r="AP43" s="38"/>
      <c r="AQ43" s="38"/>
      <c r="AR43" s="38"/>
      <c r="AS43" s="38"/>
      <c r="AT43" s="38"/>
      <c r="AU43" s="48"/>
    </row>
    <row r="44" ht="15.75" customHeight="1">
      <c r="A44" s="316"/>
      <c r="B44" s="317"/>
      <c r="C44" s="317"/>
      <c r="D44" s="38"/>
      <c r="E44" s="48"/>
      <c r="F44" s="38"/>
      <c r="G44" s="38"/>
      <c r="H44" s="38"/>
      <c r="I44" s="38"/>
      <c r="J44" s="38"/>
      <c r="K44" s="38"/>
      <c r="L44" s="38"/>
      <c r="M44" s="38"/>
      <c r="N44" s="38"/>
      <c r="O44" s="38"/>
      <c r="P44" s="38"/>
      <c r="Q44" s="38"/>
      <c r="R44" s="203"/>
      <c r="S44" s="203"/>
      <c r="T44" s="203"/>
      <c r="U44" s="203"/>
      <c r="V44" s="38"/>
      <c r="W44" s="38"/>
      <c r="X44" s="38"/>
      <c r="Y44" s="38"/>
      <c r="Z44" s="38"/>
      <c r="AA44" s="38"/>
      <c r="AB44" s="38"/>
      <c r="AC44" s="38"/>
      <c r="AD44" s="38"/>
      <c r="AE44" s="38"/>
      <c r="AF44" s="38"/>
      <c r="AG44" s="38"/>
      <c r="AH44" s="38"/>
      <c r="AI44" s="38"/>
      <c r="AJ44" s="38"/>
      <c r="AK44" s="48"/>
      <c r="AL44" s="38"/>
      <c r="AM44" s="38"/>
      <c r="AN44" s="38"/>
      <c r="AO44" s="38"/>
      <c r="AP44" s="38"/>
      <c r="AQ44" s="38"/>
      <c r="AR44" s="38"/>
      <c r="AS44" s="38"/>
      <c r="AT44" s="38"/>
      <c r="AU44" s="48"/>
    </row>
    <row r="45" ht="15.75" customHeight="1">
      <c r="A45" s="326" t="s">
        <v>2076</v>
      </c>
      <c r="B45" s="38">
        <v>1.0</v>
      </c>
      <c r="C45" s="48"/>
      <c r="D45" s="173" t="s">
        <v>305</v>
      </c>
      <c r="E45" s="60"/>
      <c r="F45" s="299" t="s">
        <v>1646</v>
      </c>
      <c r="G45" s="180"/>
      <c r="H45" s="180"/>
      <c r="I45" s="180"/>
      <c r="J45" s="38"/>
      <c r="K45" s="235"/>
      <c r="L45" s="38"/>
      <c r="M45" s="299" t="s">
        <v>1647</v>
      </c>
      <c r="N45" s="180"/>
      <c r="O45" s="180"/>
      <c r="P45" s="38"/>
      <c r="Q45" s="38"/>
      <c r="R45" s="203"/>
      <c r="S45" s="203"/>
      <c r="T45" s="203"/>
      <c r="U45" s="203"/>
      <c r="V45" s="299" t="s">
        <v>1648</v>
      </c>
      <c r="W45" s="180"/>
      <c r="X45" s="180"/>
      <c r="Y45" s="180"/>
      <c r="Z45" s="38"/>
      <c r="AA45" s="235"/>
      <c r="AB45" s="38"/>
      <c r="AC45" s="299" t="s">
        <v>1649</v>
      </c>
      <c r="AD45" s="180"/>
      <c r="AE45" s="180"/>
      <c r="AF45" s="38"/>
      <c r="AG45" s="38"/>
      <c r="AH45" s="299" t="s">
        <v>1650</v>
      </c>
      <c r="AI45" s="180"/>
      <c r="AJ45" s="180"/>
      <c r="AK45" s="349"/>
      <c r="AL45" s="230" t="s">
        <v>474</v>
      </c>
      <c r="AM45" s="232"/>
      <c r="AN45" s="232"/>
      <c r="AO45" s="232"/>
      <c r="AP45" s="38"/>
      <c r="AQ45" s="38"/>
      <c r="AR45" s="38"/>
      <c r="AS45" s="38"/>
      <c r="AT45" s="38"/>
      <c r="AU45" s="48"/>
    </row>
    <row r="46" ht="15.75" customHeight="1">
      <c r="A46" s="350" t="s">
        <v>2077</v>
      </c>
      <c r="B46" s="38">
        <v>2.0</v>
      </c>
      <c r="C46" s="48"/>
      <c r="D46" s="38"/>
      <c r="E46" s="48"/>
      <c r="F46" s="7" t="s">
        <v>1652</v>
      </c>
      <c r="G46" s="38"/>
      <c r="I46" s="351"/>
      <c r="J46" s="352" t="s">
        <v>1646</v>
      </c>
      <c r="K46" s="177"/>
      <c r="L46" s="112"/>
      <c r="N46" s="38"/>
      <c r="P46" s="352" t="s">
        <v>1647</v>
      </c>
      <c r="Q46" s="177"/>
      <c r="R46" s="203"/>
      <c r="S46" s="203"/>
      <c r="T46" s="203"/>
      <c r="U46" s="203"/>
      <c r="W46" s="38"/>
      <c r="Y46" s="351"/>
      <c r="Z46" s="352" t="s">
        <v>1648</v>
      </c>
      <c r="AA46" s="177"/>
      <c r="AB46" s="112"/>
      <c r="AD46" s="38"/>
      <c r="AF46" s="352" t="s">
        <v>1649</v>
      </c>
      <c r="AG46" s="177"/>
      <c r="AH46" s="7" t="s">
        <v>1653</v>
      </c>
      <c r="AJ46" s="351"/>
      <c r="AK46" s="300"/>
      <c r="AL46" s="38"/>
      <c r="AM46" s="38"/>
      <c r="AN46" s="38"/>
      <c r="AO46" s="38"/>
      <c r="AP46" s="38"/>
      <c r="AQ46" s="38"/>
      <c r="AR46" s="38"/>
      <c r="AS46" s="38"/>
      <c r="AT46" s="38"/>
      <c r="AU46" s="48"/>
    </row>
    <row r="47" ht="15.75" customHeight="1">
      <c r="A47" s="216"/>
      <c r="B47" s="38">
        <v>3.0</v>
      </c>
      <c r="C47" s="48"/>
      <c r="D47" s="38"/>
      <c r="E47" s="48"/>
      <c r="G47" s="38"/>
      <c r="H47" s="38"/>
      <c r="J47" s="14"/>
      <c r="L47" s="38"/>
      <c r="M47" s="38"/>
      <c r="Q47" s="14"/>
      <c r="R47" s="203"/>
      <c r="S47" s="203"/>
      <c r="T47" s="203"/>
      <c r="U47" s="203"/>
      <c r="AC47" s="14"/>
      <c r="AK47" s="48"/>
      <c r="AL47" s="38"/>
      <c r="AM47" s="38"/>
      <c r="AN47" s="38"/>
      <c r="AO47" s="38"/>
      <c r="AP47" s="38"/>
      <c r="AQ47" s="38"/>
      <c r="AR47" s="38"/>
      <c r="AS47" s="38"/>
      <c r="AT47" s="38"/>
      <c r="AU47" s="48"/>
    </row>
    <row r="48" ht="15.75" customHeight="1">
      <c r="A48" s="33"/>
      <c r="B48" s="38">
        <v>4.0</v>
      </c>
      <c r="C48" s="48"/>
      <c r="D48" s="38"/>
      <c r="E48" s="48"/>
      <c r="N48" s="38"/>
      <c r="O48" s="38"/>
      <c r="P48" s="38"/>
      <c r="Q48" s="38"/>
      <c r="R48" s="203"/>
      <c r="S48" s="203"/>
      <c r="T48" s="203"/>
      <c r="U48" s="203"/>
      <c r="V48" s="38"/>
      <c r="W48" s="38"/>
      <c r="X48" s="38"/>
      <c r="Y48" s="38"/>
      <c r="Z48" s="38"/>
      <c r="AA48" s="38"/>
      <c r="AB48" s="38"/>
      <c r="AC48" s="38"/>
      <c r="AD48" s="38"/>
      <c r="AE48" s="38"/>
      <c r="AF48" s="38"/>
      <c r="AG48" s="38"/>
      <c r="AH48" s="38"/>
      <c r="AI48" s="38"/>
      <c r="AJ48" s="38"/>
      <c r="AK48" s="48"/>
      <c r="AL48" s="38"/>
      <c r="AM48" s="38"/>
      <c r="AN48" s="38"/>
      <c r="AO48" s="38"/>
      <c r="AP48" s="38"/>
      <c r="AQ48" s="38"/>
      <c r="AR48" s="38"/>
      <c r="AS48" s="38"/>
      <c r="AT48" s="38"/>
      <c r="AU48" s="48"/>
    </row>
    <row r="49" ht="15.75" customHeight="1">
      <c r="A49" s="33"/>
      <c r="B49" s="38">
        <v>5.0</v>
      </c>
      <c r="C49" s="48"/>
      <c r="D49" s="38"/>
      <c r="E49" s="48"/>
      <c r="N49" s="38"/>
      <c r="O49" s="38"/>
      <c r="P49" s="38"/>
      <c r="Q49" s="38"/>
      <c r="R49" s="203"/>
      <c r="S49" s="203"/>
      <c r="T49" s="203"/>
      <c r="U49" s="203"/>
      <c r="V49" s="38"/>
      <c r="W49" s="38"/>
      <c r="X49" s="38"/>
      <c r="Y49" s="38"/>
      <c r="Z49" s="38"/>
      <c r="AA49" s="38"/>
      <c r="AB49" s="38"/>
      <c r="AC49" s="38"/>
      <c r="AD49" s="38"/>
      <c r="AE49" s="38"/>
      <c r="AF49" s="38"/>
      <c r="AG49" s="38"/>
      <c r="AH49" s="38"/>
      <c r="AI49" s="38"/>
      <c r="AJ49" s="38"/>
      <c r="AK49" s="48"/>
      <c r="AL49" s="38"/>
      <c r="AM49" s="38"/>
      <c r="AN49" s="38"/>
      <c r="AO49" s="38"/>
      <c r="AP49" s="38"/>
      <c r="AQ49" s="38"/>
      <c r="AR49" s="38"/>
      <c r="AS49" s="38"/>
      <c r="AT49" s="38"/>
      <c r="AU49" s="48"/>
    </row>
    <row r="50" ht="15.75" customHeight="1">
      <c r="A50" s="33"/>
      <c r="B50" s="38"/>
      <c r="C50" s="48"/>
      <c r="D50" s="38"/>
      <c r="E50" s="48"/>
      <c r="N50" s="38"/>
      <c r="O50" s="38"/>
      <c r="P50" s="38"/>
      <c r="Q50" s="38"/>
      <c r="R50" s="203"/>
      <c r="S50" s="203"/>
      <c r="T50" s="203"/>
      <c r="U50" s="203"/>
      <c r="V50" s="38"/>
      <c r="W50" s="38"/>
      <c r="X50" s="38"/>
      <c r="Y50" s="38"/>
      <c r="Z50" s="38"/>
      <c r="AA50" s="38"/>
      <c r="AB50" s="38"/>
      <c r="AC50" s="38"/>
      <c r="AD50" s="38"/>
      <c r="AE50" s="38"/>
      <c r="AF50" s="38"/>
      <c r="AG50" s="38"/>
      <c r="AH50" s="38"/>
      <c r="AI50" s="38"/>
      <c r="AJ50" s="38"/>
      <c r="AK50" s="48"/>
      <c r="AL50" s="38"/>
      <c r="AM50" s="38"/>
      <c r="AN50" s="38"/>
      <c r="AO50" s="38"/>
      <c r="AP50" s="38"/>
      <c r="AQ50" s="38"/>
      <c r="AR50" s="38"/>
      <c r="AS50" s="38"/>
      <c r="AT50" s="38"/>
      <c r="AU50" s="48"/>
    </row>
    <row r="51" ht="15.75" customHeight="1">
      <c r="A51" s="33"/>
      <c r="B51" s="38"/>
      <c r="C51" s="48"/>
      <c r="D51" s="38"/>
      <c r="E51" s="48"/>
      <c r="N51" s="38"/>
      <c r="O51" s="38"/>
      <c r="P51" s="38"/>
      <c r="Q51" s="38"/>
      <c r="R51" s="203"/>
      <c r="S51" s="203"/>
      <c r="T51" s="203"/>
      <c r="U51" s="203"/>
      <c r="AA51" s="38"/>
      <c r="AB51" s="38"/>
      <c r="AC51" s="38"/>
      <c r="AD51" s="38"/>
      <c r="AE51" s="38"/>
      <c r="AF51" s="38"/>
      <c r="AG51" s="38"/>
      <c r="AH51" s="38"/>
      <c r="AI51" s="38"/>
      <c r="AJ51" s="38"/>
      <c r="AK51" s="48"/>
      <c r="AL51" s="38"/>
      <c r="AM51" s="38"/>
      <c r="AN51" s="38"/>
      <c r="AO51" s="38"/>
      <c r="AP51" s="38"/>
      <c r="AQ51" s="38"/>
      <c r="AR51" s="38"/>
      <c r="AS51" s="38"/>
      <c r="AT51" s="38"/>
      <c r="AU51" s="48"/>
    </row>
    <row r="52" ht="15.75" customHeight="1">
      <c r="A52" s="170" t="s">
        <v>2086</v>
      </c>
      <c r="B52" s="38">
        <v>1.0</v>
      </c>
      <c r="C52" s="48"/>
      <c r="D52" s="173" t="s">
        <v>305</v>
      </c>
      <c r="E52" s="173"/>
      <c r="F52" s="299" t="s">
        <v>1717</v>
      </c>
      <c r="G52" s="180"/>
      <c r="H52" s="180"/>
      <c r="I52" s="180"/>
      <c r="J52" s="38"/>
      <c r="K52" s="235"/>
      <c r="L52" s="38"/>
      <c r="M52" s="299" t="s">
        <v>1722</v>
      </c>
      <c r="N52" s="180"/>
      <c r="O52" s="180"/>
      <c r="P52" s="38"/>
      <c r="Q52" s="38"/>
      <c r="R52" s="203"/>
      <c r="S52" s="203"/>
      <c r="T52" s="203"/>
      <c r="U52" s="203"/>
      <c r="V52" s="299" t="s">
        <v>1725</v>
      </c>
      <c r="W52" s="180"/>
      <c r="X52" s="180"/>
      <c r="Y52" s="180"/>
      <c r="Z52" s="38"/>
      <c r="AA52" s="235"/>
      <c r="AB52" s="38"/>
      <c r="AC52" s="299" t="s">
        <v>1729</v>
      </c>
      <c r="AD52" s="180"/>
      <c r="AE52" s="180"/>
      <c r="AF52" s="38"/>
      <c r="AG52" s="38"/>
      <c r="AH52" s="299" t="s">
        <v>1731</v>
      </c>
      <c r="AI52" s="180"/>
      <c r="AJ52" s="180"/>
      <c r="AK52" s="349"/>
      <c r="AL52" s="230" t="s">
        <v>474</v>
      </c>
      <c r="AM52" s="232"/>
      <c r="AN52" s="232"/>
      <c r="AO52" s="232"/>
      <c r="AP52" s="38"/>
      <c r="AQ52" s="38"/>
      <c r="AR52" s="38"/>
      <c r="AS52" s="38"/>
      <c r="AT52" s="38"/>
      <c r="AU52" s="48"/>
    </row>
    <row r="53" ht="15.75" customHeight="1">
      <c r="A53" s="350" t="s">
        <v>2087</v>
      </c>
      <c r="B53" s="38">
        <v>2.0</v>
      </c>
      <c r="C53" s="48"/>
      <c r="D53" s="38"/>
      <c r="E53" s="48"/>
      <c r="F53" s="7" t="s">
        <v>1739</v>
      </c>
      <c r="G53" s="38"/>
      <c r="I53" s="351"/>
      <c r="J53" s="352" t="s">
        <v>1717</v>
      </c>
      <c r="K53" s="177"/>
      <c r="L53" s="112"/>
      <c r="N53" s="38"/>
      <c r="P53" s="352" t="s">
        <v>1722</v>
      </c>
      <c r="Q53" s="177"/>
      <c r="R53" s="203"/>
      <c r="S53" s="203"/>
      <c r="T53" s="203"/>
      <c r="U53" s="203"/>
      <c r="W53" s="38"/>
      <c r="Y53" s="351"/>
      <c r="Z53" s="352" t="s">
        <v>1725</v>
      </c>
      <c r="AA53" s="177"/>
      <c r="AB53" s="112"/>
      <c r="AD53" s="38"/>
      <c r="AF53" s="352" t="s">
        <v>1729</v>
      </c>
      <c r="AG53" s="177"/>
      <c r="AJ53" s="351"/>
      <c r="AK53" s="300"/>
      <c r="AL53" s="38"/>
      <c r="AM53" s="38"/>
      <c r="AN53" s="38"/>
      <c r="AO53" s="38"/>
      <c r="AP53" s="38"/>
      <c r="AQ53" s="38"/>
      <c r="AR53" s="38"/>
      <c r="AS53" s="38"/>
      <c r="AT53" s="38"/>
      <c r="AU53" s="48"/>
    </row>
    <row r="54" ht="15.75" customHeight="1">
      <c r="A54" s="216"/>
      <c r="B54" s="38">
        <v>3.0</v>
      </c>
      <c r="C54" s="48"/>
      <c r="D54" s="38"/>
      <c r="E54" s="48"/>
      <c r="K54" s="14"/>
      <c r="R54" s="203"/>
      <c r="S54" s="203"/>
      <c r="T54" s="203"/>
      <c r="U54" s="203"/>
      <c r="W54" s="14"/>
      <c r="AC54" s="14"/>
      <c r="AD54" s="52"/>
      <c r="AE54" s="38"/>
      <c r="AI54" s="14"/>
      <c r="AK54" s="48"/>
      <c r="AL54" s="38"/>
      <c r="AM54" s="38"/>
      <c r="AN54" s="38"/>
      <c r="AO54" s="38"/>
      <c r="AP54" s="38"/>
      <c r="AQ54" s="38"/>
      <c r="AR54" s="38"/>
      <c r="AS54" s="38"/>
      <c r="AT54" s="38"/>
      <c r="AU54" s="48"/>
    </row>
    <row r="55" ht="15.75" customHeight="1">
      <c r="B55" s="38">
        <v>4.0</v>
      </c>
      <c r="C55" s="48"/>
      <c r="D55" s="38"/>
      <c r="E55" s="48"/>
      <c r="F55" s="38"/>
      <c r="G55" s="38"/>
      <c r="H55" s="38"/>
      <c r="J55" s="38"/>
      <c r="K55" s="38"/>
      <c r="L55" s="38"/>
      <c r="M55" s="38"/>
      <c r="N55" s="38"/>
      <c r="O55" s="38"/>
      <c r="P55" s="38"/>
      <c r="Q55" s="38"/>
      <c r="R55" s="203"/>
      <c r="S55" s="203"/>
      <c r="T55" s="203"/>
      <c r="U55" s="203"/>
      <c r="V55" s="38"/>
      <c r="W55" s="38"/>
      <c r="X55" s="38"/>
      <c r="Y55" s="38"/>
      <c r="Z55" s="38"/>
      <c r="AA55" s="38"/>
      <c r="AF55" s="38"/>
      <c r="AG55" s="38"/>
      <c r="AH55" s="38"/>
      <c r="AI55" s="38"/>
      <c r="AJ55" s="38"/>
      <c r="AK55" s="48"/>
      <c r="AL55" s="38"/>
      <c r="AM55" s="38"/>
      <c r="AN55" s="38"/>
      <c r="AO55" s="38"/>
      <c r="AP55" s="38"/>
      <c r="AQ55" s="38"/>
      <c r="AR55" s="38"/>
      <c r="AS55" s="38"/>
      <c r="AT55" s="38"/>
      <c r="AU55" s="48"/>
    </row>
    <row r="56" ht="15.75" customHeight="1">
      <c r="A56" s="33"/>
      <c r="B56" s="38">
        <v>5.0</v>
      </c>
      <c r="C56" s="48"/>
      <c r="D56" s="38"/>
      <c r="E56" s="48"/>
      <c r="F56" s="38"/>
      <c r="G56" s="38"/>
      <c r="H56" s="38"/>
      <c r="I56" s="38"/>
      <c r="J56" s="38"/>
      <c r="K56" s="38"/>
      <c r="L56" s="38"/>
      <c r="M56" s="38"/>
      <c r="N56" s="38"/>
      <c r="O56" s="38"/>
      <c r="P56" s="38"/>
      <c r="Q56" s="38"/>
      <c r="R56" s="203"/>
      <c r="S56" s="203"/>
      <c r="T56" s="203"/>
      <c r="U56" s="203"/>
      <c r="V56" s="38"/>
      <c r="W56" s="38"/>
      <c r="X56" s="38"/>
      <c r="Y56" s="38"/>
      <c r="Z56" s="38"/>
      <c r="AA56" s="38"/>
      <c r="AB56" s="38"/>
      <c r="AC56" s="38"/>
      <c r="AD56" s="38"/>
      <c r="AE56" s="38"/>
      <c r="AF56" s="38"/>
      <c r="AG56" s="38"/>
      <c r="AH56" s="38"/>
      <c r="AI56" s="38"/>
      <c r="AJ56" s="38"/>
      <c r="AK56" s="48"/>
      <c r="AL56" s="38"/>
      <c r="AM56" s="38"/>
      <c r="AN56" s="38"/>
      <c r="AO56" s="38"/>
      <c r="AP56" s="38"/>
      <c r="AQ56" s="38"/>
      <c r="AR56" s="38"/>
      <c r="AS56" s="38"/>
      <c r="AT56" s="38"/>
      <c r="AU56" s="48"/>
    </row>
    <row r="57" ht="15.75" customHeight="1">
      <c r="A57" s="33"/>
      <c r="B57" s="38"/>
      <c r="C57" s="48"/>
      <c r="D57" s="38"/>
      <c r="E57" s="48"/>
      <c r="F57" s="38"/>
      <c r="G57" s="38"/>
      <c r="H57" s="38"/>
      <c r="I57" s="38"/>
      <c r="J57" s="38"/>
      <c r="K57" s="38"/>
      <c r="L57" s="38"/>
      <c r="M57" s="38"/>
      <c r="N57" s="38"/>
      <c r="O57" s="38"/>
      <c r="P57" s="38"/>
      <c r="Q57" s="38"/>
      <c r="R57" s="203"/>
      <c r="S57" s="203"/>
      <c r="T57" s="203"/>
      <c r="U57" s="203"/>
      <c r="V57" s="38"/>
      <c r="W57" s="38"/>
      <c r="X57" s="38"/>
      <c r="Y57" s="38"/>
      <c r="Z57" s="38"/>
      <c r="AA57" s="38"/>
      <c r="AB57" s="38"/>
      <c r="AC57" s="38"/>
      <c r="AD57" s="38"/>
      <c r="AE57" s="38"/>
      <c r="AF57" s="38"/>
      <c r="AG57" s="38"/>
      <c r="AH57" s="38"/>
      <c r="AI57" s="38"/>
      <c r="AJ57" s="38"/>
      <c r="AK57" s="48"/>
      <c r="AL57" s="38"/>
      <c r="AM57" s="38"/>
      <c r="AN57" s="38"/>
      <c r="AO57" s="38"/>
      <c r="AP57" s="38"/>
      <c r="AQ57" s="38"/>
      <c r="AR57" s="38"/>
      <c r="AS57" s="38"/>
      <c r="AT57" s="38"/>
      <c r="AU57" s="48"/>
    </row>
    <row r="58" ht="15.75" customHeight="1">
      <c r="A58" s="170" t="s">
        <v>2090</v>
      </c>
      <c r="B58" s="38">
        <v>1.0</v>
      </c>
      <c r="C58" s="48"/>
      <c r="D58" s="173" t="s">
        <v>305</v>
      </c>
      <c r="E58" s="173"/>
      <c r="F58" s="299" t="s">
        <v>1646</v>
      </c>
      <c r="G58" s="180"/>
      <c r="H58" s="180"/>
      <c r="I58" s="180"/>
      <c r="J58" s="38"/>
      <c r="K58" s="235"/>
      <c r="L58" s="38"/>
      <c r="M58" s="299" t="s">
        <v>1647</v>
      </c>
      <c r="N58" s="180"/>
      <c r="O58" s="180"/>
      <c r="P58" s="38"/>
      <c r="Q58" s="38"/>
      <c r="R58" s="203"/>
      <c r="S58" s="203"/>
      <c r="T58" s="203"/>
      <c r="U58" s="203"/>
      <c r="V58" s="299" t="s">
        <v>1648</v>
      </c>
      <c r="W58" s="180"/>
      <c r="X58" s="180"/>
      <c r="Y58" s="180"/>
      <c r="Z58" s="38"/>
      <c r="AA58" s="235"/>
      <c r="AB58" s="38"/>
      <c r="AC58" s="299" t="s">
        <v>1649</v>
      </c>
      <c r="AD58" s="180"/>
      <c r="AE58" s="180"/>
      <c r="AF58" s="38"/>
      <c r="AG58" s="38"/>
      <c r="AH58" s="299" t="s">
        <v>1650</v>
      </c>
      <c r="AI58" s="180"/>
      <c r="AJ58" s="180"/>
      <c r="AK58" s="349"/>
      <c r="AL58" s="230" t="s">
        <v>474</v>
      </c>
      <c r="AM58" s="232"/>
      <c r="AN58" s="232"/>
      <c r="AO58" s="232"/>
      <c r="AP58" s="38"/>
      <c r="AQ58" s="38"/>
      <c r="AR58" s="38"/>
      <c r="AS58" s="38"/>
      <c r="AT58" s="38"/>
      <c r="AU58" s="48"/>
    </row>
    <row r="59" ht="15.75" customHeight="1">
      <c r="A59" s="350" t="s">
        <v>2091</v>
      </c>
      <c r="B59" s="38">
        <v>2.0</v>
      </c>
      <c r="C59" s="48"/>
      <c r="D59" s="38"/>
      <c r="E59" s="48"/>
      <c r="F59" s="7" t="s">
        <v>1652</v>
      </c>
      <c r="G59" s="38"/>
      <c r="I59" s="351"/>
      <c r="J59" s="352" t="s">
        <v>1646</v>
      </c>
      <c r="K59" s="177"/>
      <c r="L59" s="112"/>
      <c r="N59" s="38"/>
      <c r="P59" s="352" t="s">
        <v>1647</v>
      </c>
      <c r="Q59" s="177"/>
      <c r="R59" s="203"/>
      <c r="S59" s="203"/>
      <c r="T59" s="203"/>
      <c r="U59" s="203"/>
      <c r="W59" s="38"/>
      <c r="Y59" s="351"/>
      <c r="Z59" s="352" t="s">
        <v>1648</v>
      </c>
      <c r="AA59" s="177"/>
      <c r="AB59" s="112"/>
      <c r="AD59" s="38"/>
      <c r="AF59" s="352" t="s">
        <v>1649</v>
      </c>
      <c r="AG59" s="177"/>
      <c r="AH59" s="7" t="s">
        <v>1653</v>
      </c>
      <c r="AJ59" s="351"/>
      <c r="AK59" s="300"/>
      <c r="AL59" s="38"/>
      <c r="AM59" s="38"/>
      <c r="AN59" s="38"/>
      <c r="AO59" s="38"/>
      <c r="AP59" s="38"/>
      <c r="AQ59" s="38"/>
      <c r="AR59" s="38"/>
      <c r="AS59" s="38"/>
      <c r="AT59" s="38"/>
      <c r="AU59" s="48"/>
    </row>
    <row r="60" ht="15.75" customHeight="1">
      <c r="A60" s="216" t="s">
        <v>1893</v>
      </c>
      <c r="B60" s="38">
        <v>3.0</v>
      </c>
      <c r="C60" s="48"/>
      <c r="D60" s="38"/>
      <c r="E60" s="48"/>
      <c r="F60" s="7" t="s">
        <v>1897</v>
      </c>
      <c r="L60" s="14"/>
      <c r="O60" s="38"/>
      <c r="P60" s="38"/>
      <c r="Q60" s="38"/>
      <c r="R60" s="203"/>
      <c r="S60" s="203"/>
      <c r="T60" s="203"/>
      <c r="U60" s="203"/>
      <c r="X60" s="38"/>
      <c r="Y60" s="38"/>
      <c r="Z60" s="38"/>
      <c r="AB60" s="14"/>
      <c r="AC60" s="38"/>
      <c r="AF60" s="38"/>
      <c r="AJ60" s="14"/>
      <c r="AK60" s="38"/>
      <c r="AL60" s="38"/>
      <c r="AM60" s="38"/>
      <c r="AN60" s="38"/>
      <c r="AO60" s="38"/>
      <c r="AP60" s="38"/>
      <c r="AQ60" s="38"/>
      <c r="AR60" s="38"/>
      <c r="AS60" s="38"/>
      <c r="AT60" s="38"/>
      <c r="AU60" s="48"/>
    </row>
    <row r="61" ht="15.75" customHeight="1">
      <c r="B61" s="38">
        <v>4.0</v>
      </c>
      <c r="C61" s="48"/>
      <c r="D61" s="38"/>
      <c r="E61" s="48"/>
      <c r="F61" s="38"/>
      <c r="G61" s="38"/>
      <c r="H61" s="38"/>
      <c r="I61" s="38"/>
      <c r="J61" s="38"/>
      <c r="K61" s="38"/>
      <c r="L61" s="38"/>
      <c r="M61" s="38"/>
      <c r="N61" s="38"/>
      <c r="O61" s="38"/>
      <c r="P61" s="38"/>
      <c r="Q61" s="38"/>
      <c r="R61" s="203"/>
      <c r="S61" s="203"/>
      <c r="T61" s="203"/>
      <c r="U61" s="203"/>
      <c r="V61" s="38"/>
      <c r="W61" s="38"/>
      <c r="X61" s="38"/>
      <c r="Y61" s="38"/>
      <c r="Z61" s="38"/>
      <c r="AA61" s="38"/>
      <c r="AB61" s="38"/>
      <c r="AC61" s="38"/>
      <c r="AD61" s="38"/>
      <c r="AE61" s="38"/>
      <c r="AF61" s="38"/>
      <c r="AG61" s="38"/>
      <c r="AH61" s="38"/>
      <c r="AI61" s="38"/>
      <c r="AJ61" s="38"/>
      <c r="AK61" s="48"/>
      <c r="AL61" s="38"/>
      <c r="AM61" s="38"/>
      <c r="AN61" s="38"/>
      <c r="AO61" s="38"/>
      <c r="AP61" s="38"/>
      <c r="AQ61" s="38"/>
      <c r="AR61" s="38"/>
      <c r="AS61" s="38"/>
      <c r="AT61" s="38"/>
      <c r="AU61" s="48"/>
    </row>
    <row r="62" ht="15.75" customHeight="1">
      <c r="A62" s="33"/>
      <c r="B62" s="38">
        <v>5.0</v>
      </c>
      <c r="C62" s="48"/>
      <c r="D62" s="38"/>
      <c r="E62" s="48"/>
      <c r="F62" s="38"/>
      <c r="G62" s="38"/>
      <c r="H62" s="38"/>
      <c r="I62" s="38"/>
      <c r="J62" s="38"/>
      <c r="K62" s="38"/>
      <c r="L62" s="38"/>
      <c r="M62" s="38"/>
      <c r="N62" s="38"/>
      <c r="O62" s="38"/>
      <c r="P62" s="38"/>
      <c r="Q62" s="38"/>
      <c r="R62" s="203"/>
      <c r="S62" s="203"/>
      <c r="T62" s="203"/>
      <c r="U62" s="203"/>
      <c r="V62" s="38"/>
      <c r="W62" s="38"/>
      <c r="X62" s="38"/>
      <c r="Y62" s="38"/>
      <c r="Z62" s="38"/>
      <c r="AA62" s="38"/>
      <c r="AB62" s="38"/>
      <c r="AC62" s="38"/>
      <c r="AD62" s="38"/>
      <c r="AE62" s="38"/>
      <c r="AF62" s="38"/>
      <c r="AG62" s="38"/>
      <c r="AH62" s="38"/>
      <c r="AI62" s="38"/>
      <c r="AJ62" s="38"/>
      <c r="AK62" s="48"/>
      <c r="AL62" s="38"/>
      <c r="AM62" s="38"/>
      <c r="AN62" s="38"/>
      <c r="AO62" s="38"/>
      <c r="AP62" s="38"/>
      <c r="AQ62" s="38"/>
      <c r="AR62" s="38"/>
      <c r="AS62" s="38"/>
      <c r="AT62" s="38"/>
      <c r="AU62" s="48"/>
    </row>
    <row r="63" ht="15.75" customHeight="1">
      <c r="A63" s="33"/>
      <c r="B63" s="38"/>
      <c r="C63" s="48"/>
      <c r="D63" s="38"/>
      <c r="E63" s="48"/>
      <c r="F63" s="38"/>
      <c r="G63" s="38"/>
      <c r="H63" s="38"/>
      <c r="I63" s="38"/>
      <c r="J63" s="38"/>
      <c r="K63" s="38"/>
      <c r="L63" s="38"/>
      <c r="M63" s="38"/>
      <c r="N63" s="38"/>
      <c r="O63" s="38"/>
      <c r="P63" s="38"/>
      <c r="Q63" s="38"/>
      <c r="R63" s="203"/>
      <c r="S63" s="203"/>
      <c r="T63" s="203"/>
      <c r="U63" s="203"/>
      <c r="V63" s="38"/>
      <c r="W63" s="38"/>
      <c r="X63" s="38"/>
      <c r="Y63" s="38"/>
      <c r="Z63" s="38"/>
      <c r="AA63" s="38"/>
      <c r="AB63" s="38"/>
      <c r="AC63" s="38"/>
      <c r="AD63" s="38"/>
      <c r="AE63" s="38"/>
      <c r="AF63" s="38"/>
      <c r="AG63" s="38"/>
      <c r="AH63" s="38"/>
      <c r="AI63" s="38"/>
      <c r="AJ63" s="38"/>
      <c r="AK63" s="48"/>
      <c r="AL63" s="38"/>
      <c r="AM63" s="38"/>
      <c r="AN63" s="38"/>
      <c r="AO63" s="38"/>
      <c r="AP63" s="38"/>
      <c r="AQ63" s="38"/>
      <c r="AR63" s="38"/>
      <c r="AS63" s="38"/>
      <c r="AT63" s="38"/>
      <c r="AU63" s="48"/>
    </row>
    <row r="64" ht="15.75" customHeight="1">
      <c r="A64" s="33"/>
      <c r="B64" s="38"/>
      <c r="C64" s="48"/>
      <c r="D64" s="38"/>
      <c r="E64" s="48"/>
      <c r="F64" s="38"/>
      <c r="G64" s="38"/>
      <c r="H64" s="38"/>
      <c r="I64" s="38"/>
      <c r="J64" s="38"/>
      <c r="K64" s="38"/>
      <c r="L64" s="38"/>
      <c r="M64" s="38"/>
      <c r="N64" s="38"/>
      <c r="O64" s="38"/>
      <c r="P64" s="38"/>
      <c r="Q64" s="38"/>
      <c r="R64" s="203"/>
      <c r="S64" s="203"/>
      <c r="T64" s="203"/>
      <c r="U64" s="203"/>
      <c r="V64" s="38"/>
      <c r="W64" s="38"/>
      <c r="X64" s="38"/>
      <c r="Y64" s="38"/>
      <c r="Z64" s="38"/>
      <c r="AA64" s="38"/>
      <c r="AB64" s="38"/>
      <c r="AC64" s="38"/>
      <c r="AD64" s="38"/>
      <c r="AE64" s="38"/>
      <c r="AF64" s="38"/>
      <c r="AG64" s="38"/>
      <c r="AH64" s="38"/>
      <c r="AI64" s="38"/>
      <c r="AJ64" s="38"/>
      <c r="AK64" s="48"/>
      <c r="AL64" s="38"/>
      <c r="AM64" s="38"/>
      <c r="AN64" s="38"/>
      <c r="AO64" s="38"/>
      <c r="AP64" s="38"/>
      <c r="AQ64" s="38"/>
      <c r="AR64" s="38"/>
      <c r="AS64" s="38"/>
      <c r="AT64" s="38"/>
      <c r="AU64" s="48"/>
    </row>
    <row r="65" ht="15.75" customHeight="1">
      <c r="A65" s="170" t="s">
        <v>2100</v>
      </c>
      <c r="B65" s="38">
        <v>1.0</v>
      </c>
      <c r="C65" s="48"/>
      <c r="D65" s="173" t="s">
        <v>305</v>
      </c>
      <c r="E65" s="173"/>
      <c r="F65" s="299" t="s">
        <v>1989</v>
      </c>
      <c r="G65" s="180"/>
      <c r="H65" s="180"/>
      <c r="I65" s="180"/>
      <c r="M65" s="299" t="s">
        <v>1990</v>
      </c>
      <c r="N65" s="180"/>
      <c r="O65" s="180"/>
      <c r="P65" s="300"/>
      <c r="Q65" s="300"/>
      <c r="R65" s="203"/>
      <c r="S65" s="203"/>
      <c r="T65" s="203"/>
      <c r="U65" s="203"/>
      <c r="V65" s="299" t="s">
        <v>1991</v>
      </c>
      <c r="W65" s="180"/>
      <c r="X65" s="180"/>
      <c r="Y65" s="180"/>
      <c r="AC65" s="299" t="s">
        <v>1992</v>
      </c>
      <c r="AD65" s="180"/>
      <c r="AE65" s="180"/>
      <c r="AF65" s="180"/>
      <c r="AJ65" s="250"/>
      <c r="AK65" s="48"/>
      <c r="AL65" s="230" t="s">
        <v>474</v>
      </c>
      <c r="AM65" s="232"/>
      <c r="AN65" s="232"/>
      <c r="AO65" s="232"/>
      <c r="AP65" s="38"/>
      <c r="AQ65" s="38"/>
      <c r="AR65" s="38"/>
      <c r="AS65" s="38"/>
      <c r="AT65" s="38"/>
      <c r="AU65" s="48"/>
    </row>
    <row r="66" ht="15.75" customHeight="1">
      <c r="A66" s="216" t="s">
        <v>2101</v>
      </c>
      <c r="B66" s="38">
        <v>2.0</v>
      </c>
      <c r="C66" s="48"/>
      <c r="D66" s="38"/>
      <c r="E66" s="48"/>
      <c r="F66" s="7" t="s">
        <v>1995</v>
      </c>
      <c r="J66" s="294" t="s">
        <v>1989</v>
      </c>
      <c r="K66" s="177"/>
      <c r="L66" s="177"/>
      <c r="M66" s="7" t="s">
        <v>1996</v>
      </c>
      <c r="P66" s="294" t="s">
        <v>1997</v>
      </c>
      <c r="Q66" s="177"/>
      <c r="R66" s="203"/>
      <c r="S66" s="203"/>
      <c r="T66" s="203"/>
      <c r="U66" s="203"/>
      <c r="V66" s="7" t="s">
        <v>1998</v>
      </c>
      <c r="Z66" s="294" t="s">
        <v>1999</v>
      </c>
      <c r="AA66" s="177"/>
      <c r="AB66" s="177"/>
      <c r="AC66" s="7" t="s">
        <v>2000</v>
      </c>
      <c r="AG66" s="294" t="s">
        <v>2001</v>
      </c>
      <c r="AH66" s="177"/>
      <c r="AI66" s="177"/>
      <c r="AJ66" s="112"/>
      <c r="AK66" s="309"/>
      <c r="AL66" s="38"/>
      <c r="AM66" s="38"/>
      <c r="AN66" s="38"/>
      <c r="AO66" s="38"/>
      <c r="AP66" s="38"/>
      <c r="AQ66" s="38"/>
      <c r="AR66" s="38"/>
      <c r="AS66" s="38"/>
      <c r="AT66" s="38"/>
      <c r="AU66" s="48"/>
    </row>
    <row r="67" ht="15.75" customHeight="1">
      <c r="A67" s="216" t="s">
        <v>2102</v>
      </c>
      <c r="B67" s="38">
        <v>3.0</v>
      </c>
      <c r="C67" s="48"/>
      <c r="D67" s="38"/>
      <c r="E67" s="48"/>
      <c r="K67" s="14"/>
      <c r="Q67" s="14"/>
      <c r="R67" s="203"/>
      <c r="S67" s="203"/>
      <c r="T67" s="203"/>
      <c r="U67" s="203"/>
      <c r="Z67" s="14"/>
      <c r="AE67" s="14"/>
      <c r="AJ67" s="14"/>
      <c r="AK67" s="48"/>
      <c r="AL67" s="38"/>
      <c r="AM67" s="38"/>
      <c r="AN67" s="38"/>
      <c r="AO67" s="38"/>
      <c r="AP67" s="38"/>
      <c r="AQ67" s="38"/>
      <c r="AR67" s="38"/>
      <c r="AS67" s="38"/>
      <c r="AT67" s="38"/>
      <c r="AU67" s="48"/>
    </row>
    <row r="68" ht="15.75" customHeight="1">
      <c r="A68" s="33"/>
      <c r="B68" s="38">
        <v>4.0</v>
      </c>
      <c r="C68" s="48"/>
      <c r="D68" s="38"/>
      <c r="E68" s="48"/>
      <c r="F68" s="38"/>
      <c r="G68" s="38"/>
      <c r="H68" s="38"/>
      <c r="I68" s="38"/>
      <c r="J68" s="38"/>
      <c r="M68" s="38"/>
      <c r="N68" s="38"/>
      <c r="O68" s="38"/>
      <c r="P68" s="38"/>
      <c r="Q68" s="38"/>
      <c r="R68" s="203"/>
      <c r="S68" s="203"/>
      <c r="T68" s="203"/>
      <c r="U68" s="203"/>
      <c r="V68" s="38"/>
      <c r="W68" s="38"/>
      <c r="X68" s="38"/>
      <c r="Y68" s="38"/>
      <c r="Z68" s="38"/>
      <c r="AC68" s="38"/>
      <c r="AD68" s="38"/>
      <c r="AE68" s="38"/>
      <c r="AF68" s="38"/>
      <c r="AG68" s="38"/>
      <c r="AH68" s="38"/>
      <c r="AI68" s="38"/>
      <c r="AJ68" s="38"/>
      <c r="AK68" s="48"/>
      <c r="AL68" s="38"/>
      <c r="AM68" s="38"/>
      <c r="AN68" s="38"/>
      <c r="AO68" s="38"/>
      <c r="AP68" s="38"/>
      <c r="AQ68" s="38"/>
      <c r="AR68" s="38"/>
      <c r="AS68" s="38"/>
      <c r="AT68" s="38"/>
      <c r="AU68" s="48"/>
    </row>
    <row r="69" ht="15.75" customHeight="1">
      <c r="A69" s="33"/>
      <c r="B69" s="38"/>
      <c r="C69" s="48"/>
      <c r="D69" s="38"/>
      <c r="E69" s="48"/>
      <c r="F69" s="38"/>
      <c r="G69" s="38"/>
      <c r="H69" s="38"/>
      <c r="I69" s="38"/>
      <c r="J69" s="38"/>
      <c r="K69" s="38"/>
      <c r="L69" s="38"/>
      <c r="M69" s="38"/>
      <c r="N69" s="38"/>
      <c r="O69" s="38"/>
      <c r="P69" s="38"/>
      <c r="Q69" s="38"/>
      <c r="R69" s="203"/>
      <c r="S69" s="203"/>
      <c r="T69" s="203"/>
      <c r="U69" s="203"/>
      <c r="V69" s="38"/>
      <c r="W69" s="38"/>
      <c r="X69" s="38"/>
      <c r="Y69" s="38"/>
      <c r="Z69" s="38"/>
      <c r="AA69" s="38"/>
      <c r="AB69" s="38"/>
      <c r="AC69" s="38"/>
      <c r="AD69" s="38"/>
      <c r="AE69" s="38"/>
      <c r="AF69" s="38"/>
      <c r="AG69" s="38"/>
      <c r="AH69" s="38"/>
      <c r="AI69" s="38"/>
      <c r="AJ69" s="38"/>
      <c r="AK69" s="48"/>
      <c r="AL69" s="38"/>
      <c r="AM69" s="38"/>
      <c r="AN69" s="38"/>
      <c r="AO69" s="38"/>
      <c r="AP69" s="38"/>
      <c r="AQ69" s="38"/>
      <c r="AR69" s="38"/>
      <c r="AS69" s="38"/>
      <c r="AT69" s="38"/>
      <c r="AU69" s="48"/>
    </row>
    <row r="70" ht="15.75" customHeight="1">
      <c r="A70" s="33"/>
      <c r="B70" s="38"/>
      <c r="C70" s="48"/>
      <c r="D70" s="38"/>
      <c r="E70" s="48"/>
      <c r="F70" s="38"/>
      <c r="G70" s="38"/>
      <c r="H70" s="38"/>
      <c r="I70" s="38"/>
      <c r="J70" s="38"/>
      <c r="K70" s="38"/>
      <c r="L70" s="38"/>
      <c r="M70" s="38"/>
      <c r="N70" s="38"/>
      <c r="O70" s="38"/>
      <c r="P70" s="38"/>
      <c r="Q70" s="38"/>
      <c r="R70" s="203"/>
      <c r="S70" s="203"/>
      <c r="T70" s="203"/>
      <c r="U70" s="203"/>
      <c r="V70" s="38"/>
      <c r="W70" s="38"/>
      <c r="X70" s="38"/>
      <c r="Y70" s="38"/>
      <c r="Z70" s="38"/>
      <c r="AA70" s="38"/>
      <c r="AB70" s="38"/>
      <c r="AC70" s="38"/>
      <c r="AD70" s="38"/>
      <c r="AE70" s="38"/>
      <c r="AF70" s="38"/>
      <c r="AG70" s="38"/>
      <c r="AH70" s="38"/>
      <c r="AI70" s="38"/>
      <c r="AJ70" s="38"/>
      <c r="AK70" s="48"/>
      <c r="AL70" s="38"/>
      <c r="AM70" s="38"/>
      <c r="AN70" s="38"/>
      <c r="AO70" s="38"/>
      <c r="AP70" s="38"/>
      <c r="AQ70" s="38"/>
      <c r="AR70" s="38"/>
      <c r="AS70" s="38"/>
      <c r="AT70" s="38"/>
      <c r="AU70" s="48"/>
    </row>
    <row r="71" ht="15.75" customHeight="1">
      <c r="A71" s="170" t="s">
        <v>2114</v>
      </c>
      <c r="B71" s="38">
        <v>1.0</v>
      </c>
      <c r="C71" s="48"/>
      <c r="D71" s="173" t="s">
        <v>305</v>
      </c>
      <c r="E71" s="173"/>
      <c r="F71" s="299" t="s">
        <v>2015</v>
      </c>
      <c r="G71" s="180"/>
      <c r="H71" s="180"/>
      <c r="I71" s="180"/>
      <c r="M71" s="299" t="s">
        <v>2016</v>
      </c>
      <c r="N71" s="180"/>
      <c r="O71" s="180"/>
      <c r="P71" s="180"/>
      <c r="R71" s="203"/>
      <c r="S71" s="203"/>
      <c r="T71" s="203"/>
      <c r="U71" s="203"/>
      <c r="V71" s="299" t="s">
        <v>2017</v>
      </c>
      <c r="W71" s="180"/>
      <c r="X71" s="180"/>
      <c r="Y71" s="180"/>
      <c r="AC71" s="299" t="s">
        <v>2019</v>
      </c>
      <c r="AD71" s="180"/>
      <c r="AG71" s="299" t="s">
        <v>2020</v>
      </c>
      <c r="AH71" s="180"/>
      <c r="AJ71" s="299" t="s">
        <v>2021</v>
      </c>
      <c r="AK71" s="180"/>
      <c r="AL71" s="230" t="s">
        <v>474</v>
      </c>
      <c r="AM71" s="232"/>
      <c r="AN71" s="232"/>
      <c r="AO71" s="232"/>
      <c r="AP71" s="38"/>
      <c r="AQ71" s="38"/>
      <c r="AR71" s="38"/>
      <c r="AS71" s="38"/>
      <c r="AT71" s="38"/>
      <c r="AU71" s="48"/>
    </row>
    <row r="72" ht="15.75" customHeight="1">
      <c r="A72" s="216" t="s">
        <v>2115</v>
      </c>
      <c r="B72" s="38">
        <v>2.0</v>
      </c>
      <c r="C72" s="48"/>
      <c r="D72" s="38"/>
      <c r="E72" s="48"/>
      <c r="F72" s="7" t="s">
        <v>2027</v>
      </c>
      <c r="J72" s="294" t="s">
        <v>2015</v>
      </c>
      <c r="K72" s="177"/>
      <c r="L72" s="177"/>
      <c r="M72" s="7" t="s">
        <v>2028</v>
      </c>
      <c r="Q72" s="294" t="s">
        <v>2016</v>
      </c>
      <c r="R72" s="203"/>
      <c r="S72" s="203"/>
      <c r="T72" s="203"/>
      <c r="U72" s="203"/>
      <c r="V72" s="7" t="s">
        <v>2030</v>
      </c>
      <c r="Z72" s="294" t="s">
        <v>2017</v>
      </c>
      <c r="AA72" s="177"/>
      <c r="AB72" s="177"/>
      <c r="AC72" s="7" t="s">
        <v>1566</v>
      </c>
      <c r="AE72" s="294" t="s">
        <v>2019</v>
      </c>
      <c r="AF72" s="177"/>
      <c r="AI72" s="297" t="s">
        <v>2020</v>
      </c>
      <c r="AJ72" s="7" t="s">
        <v>1996</v>
      </c>
      <c r="AL72" s="38"/>
      <c r="AM72" s="38"/>
      <c r="AN72" s="38"/>
      <c r="AO72" s="38"/>
      <c r="AP72" s="38"/>
      <c r="AQ72" s="38"/>
      <c r="AR72" s="38"/>
      <c r="AS72" s="38"/>
      <c r="AT72" s="38"/>
      <c r="AU72" s="48"/>
    </row>
    <row r="73" ht="15.75" customHeight="1">
      <c r="A73" s="216" t="s">
        <v>2116</v>
      </c>
      <c r="B73" s="38">
        <v>3.0</v>
      </c>
      <c r="C73" s="48"/>
      <c r="D73" s="38"/>
      <c r="E73" s="48"/>
      <c r="F73" s="38"/>
      <c r="G73" s="38"/>
      <c r="H73" s="38"/>
      <c r="I73" s="38"/>
      <c r="J73" s="38"/>
      <c r="K73" s="38"/>
      <c r="L73" s="38"/>
      <c r="M73" s="38"/>
      <c r="N73" s="38"/>
      <c r="O73" s="38"/>
      <c r="P73" s="38"/>
      <c r="Q73" s="38"/>
      <c r="R73" s="203"/>
      <c r="S73" s="203"/>
      <c r="T73" s="203"/>
      <c r="U73" s="203"/>
      <c r="V73" s="38"/>
      <c r="W73" s="38"/>
      <c r="AB73" s="38"/>
      <c r="AC73" s="38"/>
      <c r="AF73" s="38"/>
      <c r="AG73" s="38"/>
      <c r="AJ73" s="38"/>
      <c r="AK73" s="48"/>
      <c r="AL73" s="38"/>
      <c r="AM73" s="38"/>
      <c r="AN73" s="38"/>
      <c r="AO73" s="38"/>
      <c r="AP73" s="38"/>
      <c r="AQ73" s="38"/>
      <c r="AR73" s="38"/>
      <c r="AS73" s="38"/>
      <c r="AT73" s="38"/>
      <c r="AU73" s="48"/>
    </row>
    <row r="74" ht="15.75" customHeight="1">
      <c r="A74" s="216" t="s">
        <v>1588</v>
      </c>
      <c r="B74" s="38">
        <v>4.0</v>
      </c>
      <c r="C74" s="48"/>
      <c r="D74" s="38"/>
      <c r="E74" s="48"/>
      <c r="F74" s="38"/>
      <c r="G74" s="38"/>
      <c r="H74" s="38"/>
      <c r="I74" s="38"/>
      <c r="J74" s="38"/>
      <c r="K74" s="38"/>
      <c r="L74" s="38"/>
      <c r="M74" s="38"/>
      <c r="N74" s="38"/>
      <c r="O74" s="38"/>
      <c r="P74" s="38"/>
      <c r="Q74" s="38"/>
      <c r="R74" s="203"/>
      <c r="S74" s="203"/>
      <c r="T74" s="203"/>
      <c r="U74" s="203"/>
      <c r="V74" s="38"/>
      <c r="W74" s="38"/>
      <c r="AD74" s="38"/>
      <c r="AE74" s="38"/>
      <c r="AH74" s="38"/>
      <c r="AI74" s="38"/>
      <c r="AJ74" s="38"/>
      <c r="AK74" s="48"/>
      <c r="AL74" s="38"/>
      <c r="AM74" s="38"/>
      <c r="AN74" s="38"/>
      <c r="AO74" s="38"/>
      <c r="AP74" s="38"/>
      <c r="AQ74" s="38"/>
      <c r="AR74" s="38"/>
      <c r="AS74" s="38"/>
      <c r="AT74" s="38"/>
      <c r="AU74" s="48"/>
    </row>
    <row r="75" ht="15.75" customHeight="1">
      <c r="A75" s="33"/>
      <c r="B75" s="38">
        <v>5.0</v>
      </c>
      <c r="C75" s="48"/>
      <c r="D75" s="38"/>
      <c r="E75" s="48"/>
      <c r="F75" s="38"/>
      <c r="G75" s="38"/>
      <c r="H75" s="38"/>
      <c r="I75" s="38"/>
      <c r="J75" s="38"/>
      <c r="K75" s="38"/>
      <c r="L75" s="38"/>
      <c r="M75" s="38"/>
      <c r="N75" s="38"/>
      <c r="O75" s="38"/>
      <c r="P75" s="38"/>
      <c r="Q75" s="38"/>
      <c r="R75" s="203"/>
      <c r="S75" s="203"/>
      <c r="T75" s="203"/>
      <c r="U75" s="203"/>
      <c r="V75" s="38"/>
      <c r="W75" s="38"/>
      <c r="X75" s="38"/>
      <c r="Y75" s="38"/>
      <c r="Z75" s="38"/>
      <c r="AA75" s="38"/>
      <c r="AB75" s="38"/>
      <c r="AC75" s="38"/>
      <c r="AD75" s="38"/>
      <c r="AE75" s="38"/>
      <c r="AF75" s="38"/>
      <c r="AG75" s="38"/>
      <c r="AH75" s="38"/>
      <c r="AI75" s="38"/>
      <c r="AJ75" s="38"/>
      <c r="AK75" s="48"/>
      <c r="AL75" s="38"/>
      <c r="AM75" s="38"/>
      <c r="AN75" s="38"/>
      <c r="AO75" s="38"/>
      <c r="AP75" s="38"/>
      <c r="AQ75" s="38"/>
      <c r="AR75" s="38"/>
      <c r="AS75" s="38"/>
      <c r="AT75" s="38"/>
      <c r="AU75" s="48"/>
    </row>
    <row r="76" ht="15.75" customHeight="1">
      <c r="A76" s="33"/>
      <c r="B76" s="38">
        <v>6.0</v>
      </c>
      <c r="C76" s="48"/>
      <c r="D76" s="38"/>
      <c r="E76" s="48"/>
      <c r="F76" s="38"/>
      <c r="G76" s="38"/>
      <c r="H76" s="38"/>
      <c r="I76" s="38"/>
      <c r="J76" s="38"/>
      <c r="K76" s="38"/>
      <c r="L76" s="38"/>
      <c r="M76" s="38"/>
      <c r="N76" s="38"/>
      <c r="O76" s="38"/>
      <c r="P76" s="38"/>
      <c r="Q76" s="38"/>
      <c r="R76" s="203"/>
      <c r="S76" s="203"/>
      <c r="T76" s="203"/>
      <c r="U76" s="203"/>
      <c r="V76" s="38"/>
      <c r="W76" s="38"/>
      <c r="X76" s="38"/>
      <c r="Y76" s="38"/>
      <c r="Z76" s="38"/>
      <c r="AA76" s="38"/>
      <c r="AB76" s="38"/>
      <c r="AC76" s="38"/>
      <c r="AD76" s="38"/>
      <c r="AE76" s="38"/>
      <c r="AF76" s="38"/>
      <c r="AG76" s="38"/>
      <c r="AH76" s="38"/>
      <c r="AI76" s="38"/>
      <c r="AJ76" s="38"/>
      <c r="AK76" s="48"/>
      <c r="AL76" s="38"/>
      <c r="AM76" s="38"/>
      <c r="AN76" s="38"/>
      <c r="AO76" s="38"/>
      <c r="AP76" s="38"/>
      <c r="AQ76" s="38"/>
      <c r="AR76" s="38"/>
      <c r="AS76" s="38"/>
      <c r="AT76" s="38"/>
      <c r="AU76" s="48"/>
    </row>
    <row r="77" ht="15.75" customHeight="1">
      <c r="A77" s="33"/>
      <c r="B77" s="38"/>
      <c r="C77" s="48"/>
      <c r="D77" s="38"/>
      <c r="E77" s="48"/>
      <c r="F77" s="38"/>
      <c r="G77" s="38"/>
      <c r="H77" s="38"/>
      <c r="I77" s="38"/>
      <c r="J77" s="38"/>
      <c r="K77" s="38"/>
      <c r="L77" s="38"/>
      <c r="M77" s="38"/>
      <c r="N77" s="38"/>
      <c r="O77" s="38"/>
      <c r="P77" s="38"/>
      <c r="Q77" s="38"/>
      <c r="R77" s="203"/>
      <c r="S77" s="203"/>
      <c r="T77" s="203"/>
      <c r="U77" s="203"/>
      <c r="V77" s="38"/>
      <c r="W77" s="38"/>
      <c r="X77" s="38"/>
      <c r="Y77" s="38"/>
      <c r="Z77" s="38"/>
      <c r="AA77" s="38"/>
      <c r="AB77" s="38"/>
      <c r="AC77" s="38"/>
      <c r="AD77" s="38"/>
      <c r="AE77" s="38"/>
      <c r="AF77" s="38"/>
      <c r="AG77" s="38"/>
      <c r="AH77" s="38"/>
      <c r="AI77" s="38"/>
      <c r="AJ77" s="38"/>
      <c r="AK77" s="48"/>
      <c r="AL77" s="38"/>
      <c r="AM77" s="38"/>
      <c r="AN77" s="38"/>
      <c r="AO77" s="38"/>
      <c r="AP77" s="38"/>
      <c r="AQ77" s="38"/>
      <c r="AR77" s="38"/>
      <c r="AS77" s="38"/>
      <c r="AT77" s="38"/>
      <c r="AU77" s="48"/>
    </row>
    <row r="78" ht="15.75" customHeight="1">
      <c r="A78" s="170" t="s">
        <v>2120</v>
      </c>
      <c r="B78" s="38">
        <v>1.0</v>
      </c>
      <c r="C78" s="48"/>
      <c r="D78" s="173" t="s">
        <v>305</v>
      </c>
      <c r="E78" s="173"/>
      <c r="F78" s="299" t="s">
        <v>2047</v>
      </c>
      <c r="G78" s="180"/>
      <c r="H78" s="180"/>
      <c r="I78" s="180"/>
      <c r="M78" s="299" t="s">
        <v>2048</v>
      </c>
      <c r="N78" s="180"/>
      <c r="O78" s="180"/>
      <c r="P78" s="300"/>
      <c r="Q78" s="300"/>
      <c r="R78" s="203"/>
      <c r="S78" s="203"/>
      <c r="T78" s="203"/>
      <c r="U78" s="203"/>
      <c r="V78" s="299" t="s">
        <v>2050</v>
      </c>
      <c r="W78" s="180"/>
      <c r="X78" s="180"/>
      <c r="Y78" s="180"/>
      <c r="AC78" s="299" t="s">
        <v>2051</v>
      </c>
      <c r="AD78" s="180"/>
      <c r="AE78" s="180"/>
      <c r="AF78" s="180"/>
      <c r="AJ78" s="250"/>
      <c r="AK78" s="48"/>
      <c r="AL78" s="230" t="s">
        <v>474</v>
      </c>
      <c r="AM78" s="232"/>
      <c r="AN78" s="232"/>
      <c r="AO78" s="232"/>
      <c r="AP78" s="38"/>
      <c r="AQ78" s="38"/>
      <c r="AR78" s="38"/>
      <c r="AS78" s="38"/>
      <c r="AT78" s="38"/>
      <c r="AU78" s="48"/>
    </row>
    <row r="79" ht="15.75" customHeight="1">
      <c r="A79" s="216" t="s">
        <v>2121</v>
      </c>
      <c r="B79" s="38">
        <v>2.0</v>
      </c>
      <c r="C79" s="48"/>
      <c r="D79" s="38"/>
      <c r="E79" s="48"/>
      <c r="F79" s="7" t="s">
        <v>1257</v>
      </c>
      <c r="J79" s="294" t="s">
        <v>2047</v>
      </c>
      <c r="K79" s="177"/>
      <c r="L79" s="177"/>
      <c r="M79" s="7" t="s">
        <v>1258</v>
      </c>
      <c r="P79" s="294" t="s">
        <v>2048</v>
      </c>
      <c r="Q79" s="177"/>
      <c r="R79" s="203"/>
      <c r="S79" s="203"/>
      <c r="T79" s="203"/>
      <c r="U79" s="203"/>
      <c r="V79" s="7" t="s">
        <v>1440</v>
      </c>
      <c r="Z79" s="294" t="s">
        <v>2050</v>
      </c>
      <c r="AA79" s="177"/>
      <c r="AB79" s="177"/>
      <c r="AC79" s="7" t="s">
        <v>1443</v>
      </c>
      <c r="AG79" s="294" t="s">
        <v>2051</v>
      </c>
      <c r="AH79" s="177"/>
      <c r="AI79" s="177"/>
      <c r="AJ79" s="112"/>
      <c r="AK79" s="309"/>
      <c r="AL79" s="38"/>
      <c r="AM79" s="38"/>
      <c r="AN79" s="38"/>
      <c r="AO79" s="38"/>
      <c r="AP79" s="38"/>
      <c r="AQ79" s="38"/>
      <c r="AR79" s="38"/>
      <c r="AS79" s="38"/>
      <c r="AT79" s="38"/>
      <c r="AU79" s="48"/>
    </row>
    <row r="80" ht="15.75" customHeight="1">
      <c r="A80" s="216" t="s">
        <v>2122</v>
      </c>
      <c r="B80" s="38">
        <v>3.0</v>
      </c>
      <c r="C80" s="48"/>
      <c r="D80" s="38"/>
      <c r="E80" s="48"/>
      <c r="F80" s="38"/>
      <c r="G80" s="38"/>
      <c r="H80" s="38"/>
      <c r="K80" s="38"/>
      <c r="L80" s="38"/>
      <c r="O80" s="38"/>
      <c r="P80" s="38"/>
      <c r="Q80" s="38"/>
      <c r="R80" s="203"/>
      <c r="S80" s="203"/>
      <c r="T80" s="203"/>
      <c r="U80" s="203"/>
      <c r="X80" s="38"/>
      <c r="Y80" s="38"/>
      <c r="AC80" s="38"/>
      <c r="AD80" s="38"/>
      <c r="AI80" s="38"/>
      <c r="AJ80" s="38"/>
      <c r="AL80" s="38"/>
      <c r="AM80" s="38"/>
      <c r="AN80" s="38"/>
      <c r="AO80" s="38"/>
      <c r="AP80" s="38"/>
      <c r="AQ80" s="38"/>
      <c r="AR80" s="38"/>
      <c r="AS80" s="38"/>
      <c r="AT80" s="38"/>
      <c r="AU80" s="48"/>
    </row>
    <row r="81" ht="15.75" customHeight="1">
      <c r="B81" s="38">
        <v>4.0</v>
      </c>
      <c r="C81" s="48"/>
      <c r="D81" s="38"/>
      <c r="E81" s="48"/>
      <c r="H81" s="38"/>
      <c r="Q81" s="38"/>
      <c r="R81" s="203"/>
      <c r="S81" s="203"/>
      <c r="T81" s="203"/>
      <c r="U81" s="203"/>
      <c r="AE81" s="38"/>
      <c r="AL81" s="38"/>
      <c r="AM81" s="38"/>
      <c r="AN81" s="38"/>
      <c r="AO81" s="38"/>
      <c r="AP81" s="38"/>
      <c r="AQ81" s="38"/>
      <c r="AR81" s="38"/>
      <c r="AS81" s="38"/>
      <c r="AT81" s="38"/>
      <c r="AU81" s="48"/>
    </row>
    <row r="82" ht="15.75" customHeight="1">
      <c r="A82" s="47"/>
      <c r="B82" s="38">
        <v>5.0</v>
      </c>
      <c r="C82" s="48"/>
      <c r="D82" s="38"/>
      <c r="E82" s="48"/>
      <c r="F82" s="38"/>
      <c r="G82" s="38"/>
      <c r="H82" s="38"/>
      <c r="I82" s="38"/>
      <c r="J82" s="38"/>
      <c r="K82" s="38"/>
      <c r="L82" s="38"/>
      <c r="M82" s="38"/>
      <c r="N82" s="38"/>
      <c r="O82" s="38"/>
      <c r="P82" s="38"/>
      <c r="Q82" s="38"/>
      <c r="R82" s="203"/>
      <c r="S82" s="203"/>
      <c r="T82" s="203"/>
      <c r="U82" s="203"/>
      <c r="V82" s="38"/>
      <c r="W82" s="38"/>
      <c r="X82" s="38"/>
      <c r="Y82" s="38"/>
      <c r="Z82" s="38"/>
      <c r="AA82" s="38"/>
      <c r="AH82" s="38"/>
      <c r="AL82" s="38"/>
      <c r="AM82" s="38"/>
      <c r="AN82" s="38"/>
      <c r="AO82" s="38"/>
      <c r="AP82" s="38"/>
      <c r="AQ82" s="38"/>
      <c r="AR82" s="38"/>
      <c r="AS82" s="38"/>
      <c r="AT82" s="38"/>
      <c r="AU82" s="48"/>
    </row>
    <row r="83" ht="15.75" customHeight="1">
      <c r="A83" s="33"/>
      <c r="B83" s="38">
        <v>6.0</v>
      </c>
      <c r="C83" s="48"/>
      <c r="D83" s="38"/>
      <c r="E83" s="48"/>
      <c r="F83" s="38"/>
      <c r="G83" s="38"/>
      <c r="H83" s="38"/>
      <c r="I83" s="38"/>
      <c r="J83" s="38"/>
      <c r="K83" s="38"/>
      <c r="L83" s="38"/>
      <c r="M83" s="38"/>
      <c r="N83" s="38"/>
      <c r="O83" s="38"/>
      <c r="P83" s="38"/>
      <c r="Q83" s="38"/>
      <c r="R83" s="203"/>
      <c r="S83" s="203"/>
      <c r="T83" s="203"/>
      <c r="U83" s="203"/>
      <c r="V83" s="38"/>
      <c r="W83" s="38"/>
      <c r="X83" s="38"/>
      <c r="Y83" s="38"/>
      <c r="Z83" s="38"/>
      <c r="AA83" s="38"/>
      <c r="AB83" s="38"/>
      <c r="AC83" s="38"/>
      <c r="AD83" s="38"/>
      <c r="AE83" s="38"/>
      <c r="AF83" s="38"/>
      <c r="AG83" s="38"/>
      <c r="AH83" s="38"/>
      <c r="AI83" s="38"/>
      <c r="AJ83" s="38"/>
      <c r="AK83" s="48"/>
      <c r="AL83" s="38"/>
      <c r="AM83" s="38"/>
      <c r="AN83" s="38"/>
      <c r="AO83" s="38"/>
      <c r="AP83" s="38"/>
      <c r="AQ83" s="38"/>
      <c r="AR83" s="38"/>
      <c r="AS83" s="38"/>
      <c r="AT83" s="38"/>
      <c r="AU83" s="48"/>
    </row>
    <row r="84" ht="15.75" customHeight="1">
      <c r="A84" s="33"/>
      <c r="B84" s="38">
        <v>7.0</v>
      </c>
      <c r="C84" s="48"/>
      <c r="D84" s="38"/>
      <c r="E84" s="48"/>
      <c r="F84" s="38"/>
      <c r="G84" s="38"/>
      <c r="H84" s="38"/>
      <c r="I84" s="38"/>
      <c r="J84" s="38"/>
      <c r="K84" s="38"/>
      <c r="L84" s="38"/>
      <c r="M84" s="38"/>
      <c r="N84" s="38"/>
      <c r="O84" s="38"/>
      <c r="P84" s="38"/>
      <c r="Q84" s="38"/>
      <c r="R84" s="203"/>
      <c r="S84" s="203"/>
      <c r="T84" s="203"/>
      <c r="U84" s="203"/>
      <c r="V84" s="38"/>
      <c r="W84" s="38"/>
      <c r="X84" s="38"/>
      <c r="Y84" s="38"/>
      <c r="Z84" s="38"/>
      <c r="AA84" s="38"/>
      <c r="AB84" s="38"/>
      <c r="AC84" s="38"/>
      <c r="AD84" s="38"/>
      <c r="AE84" s="38"/>
      <c r="AF84" s="38"/>
      <c r="AG84" s="38"/>
      <c r="AH84" s="38"/>
      <c r="AI84" s="38"/>
      <c r="AJ84" s="38"/>
      <c r="AK84" s="48"/>
      <c r="AL84" s="38"/>
      <c r="AM84" s="38"/>
      <c r="AN84" s="38"/>
      <c r="AO84" s="38"/>
      <c r="AP84" s="38"/>
      <c r="AQ84" s="38"/>
      <c r="AR84" s="38"/>
      <c r="AS84" s="38"/>
      <c r="AT84" s="38"/>
      <c r="AU84" s="48"/>
    </row>
    <row r="85" ht="15.75" customHeight="1">
      <c r="A85" s="33"/>
      <c r="B85" s="38"/>
      <c r="C85" s="48"/>
      <c r="D85" s="38"/>
      <c r="E85" s="48"/>
      <c r="H85" s="38"/>
      <c r="I85" s="38"/>
      <c r="J85" s="38"/>
      <c r="K85" s="38"/>
      <c r="L85" s="38"/>
      <c r="M85" s="38"/>
      <c r="N85" s="38"/>
      <c r="O85" s="38"/>
      <c r="P85" s="38"/>
      <c r="Q85" s="38"/>
      <c r="R85" s="203"/>
      <c r="S85" s="203"/>
      <c r="T85" s="203"/>
      <c r="U85" s="203"/>
      <c r="V85" s="38"/>
      <c r="W85" s="38"/>
      <c r="X85" s="38"/>
      <c r="Y85" s="38"/>
      <c r="Z85" s="38"/>
      <c r="AA85" s="38"/>
      <c r="AB85" s="38"/>
      <c r="AC85" s="38"/>
      <c r="AD85" s="38"/>
      <c r="AE85" s="38"/>
      <c r="AF85" s="38"/>
      <c r="AG85" s="38"/>
      <c r="AH85" s="38"/>
      <c r="AI85" s="38"/>
      <c r="AJ85" s="38"/>
      <c r="AK85" s="48"/>
      <c r="AL85" s="38"/>
      <c r="AM85" s="38"/>
      <c r="AN85" s="38"/>
      <c r="AO85" s="38"/>
      <c r="AP85" s="38"/>
      <c r="AQ85" s="38"/>
      <c r="AR85" s="38"/>
      <c r="AS85" s="38"/>
      <c r="AT85" s="38"/>
      <c r="AU85" s="48"/>
    </row>
    <row r="86" ht="15.75" customHeight="1">
      <c r="A86" s="170" t="s">
        <v>2126</v>
      </c>
      <c r="B86" s="38">
        <v>1.0</v>
      </c>
      <c r="C86" s="48"/>
      <c r="D86" s="173" t="s">
        <v>305</v>
      </c>
      <c r="E86" s="173"/>
      <c r="F86" s="299" t="s">
        <v>2069</v>
      </c>
      <c r="G86" s="180"/>
      <c r="H86" s="180"/>
      <c r="I86" s="180"/>
      <c r="J86" s="38"/>
      <c r="K86" s="235"/>
      <c r="L86" s="38"/>
      <c r="M86" s="299" t="s">
        <v>2070</v>
      </c>
      <c r="N86" s="180"/>
      <c r="O86" s="180"/>
      <c r="P86" s="38"/>
      <c r="Q86" s="38"/>
      <c r="R86" s="203"/>
      <c r="S86" s="203"/>
      <c r="T86" s="203"/>
      <c r="U86" s="203"/>
      <c r="V86" s="299" t="s">
        <v>2071</v>
      </c>
      <c r="W86" s="180"/>
      <c r="X86" s="180"/>
      <c r="Y86" s="180"/>
      <c r="Z86" s="38"/>
      <c r="AA86" s="235"/>
      <c r="AB86" s="38"/>
      <c r="AC86" s="299" t="s">
        <v>2072</v>
      </c>
      <c r="AD86" s="180"/>
      <c r="AE86" s="180"/>
      <c r="AF86" s="38"/>
      <c r="AG86" s="38"/>
      <c r="AH86" s="299" t="s">
        <v>2073</v>
      </c>
      <c r="AI86" s="180"/>
      <c r="AJ86" s="180"/>
      <c r="AK86" s="349"/>
      <c r="AL86" s="230" t="s">
        <v>474</v>
      </c>
      <c r="AM86" s="232"/>
      <c r="AN86" s="232"/>
      <c r="AO86" s="232"/>
      <c r="AP86" s="38"/>
      <c r="AQ86" s="38"/>
      <c r="AR86" s="38"/>
      <c r="AS86" s="38"/>
      <c r="AT86" s="38"/>
      <c r="AU86" s="48"/>
    </row>
    <row r="87" ht="15.75" customHeight="1">
      <c r="A87" s="350" t="s">
        <v>2127</v>
      </c>
      <c r="B87" s="38">
        <v>2.0</v>
      </c>
      <c r="C87" s="48"/>
      <c r="D87" s="38"/>
      <c r="E87" s="48"/>
      <c r="F87" s="7" t="s">
        <v>2075</v>
      </c>
      <c r="G87" s="38"/>
      <c r="I87" s="351"/>
      <c r="J87" s="352" t="s">
        <v>2069</v>
      </c>
      <c r="K87" s="177"/>
      <c r="L87" s="112"/>
      <c r="N87" s="38"/>
      <c r="P87" s="352" t="s">
        <v>2070</v>
      </c>
      <c r="Q87" s="177"/>
      <c r="R87" s="203"/>
      <c r="S87" s="203"/>
      <c r="T87" s="203"/>
      <c r="U87" s="203"/>
      <c r="W87" s="38"/>
      <c r="Y87" s="351"/>
      <c r="Z87" s="352" t="s">
        <v>2071</v>
      </c>
      <c r="AA87" s="177"/>
      <c r="AB87" s="112"/>
      <c r="AD87" s="38"/>
      <c r="AF87" s="352" t="s">
        <v>2072</v>
      </c>
      <c r="AG87" s="177"/>
      <c r="AH87" s="7" t="s">
        <v>1653</v>
      </c>
      <c r="AJ87" s="351"/>
      <c r="AK87" s="300"/>
      <c r="AL87" s="38"/>
      <c r="AM87" s="38"/>
      <c r="AN87" s="38"/>
      <c r="AO87" s="38"/>
      <c r="AP87" s="38"/>
      <c r="AQ87" s="38"/>
      <c r="AR87" s="38"/>
      <c r="AS87" s="38"/>
      <c r="AT87" s="38"/>
      <c r="AU87" s="48"/>
    </row>
    <row r="88" ht="15.75" customHeight="1">
      <c r="B88" s="38">
        <v>3.0</v>
      </c>
      <c r="C88" s="48"/>
      <c r="D88" s="38"/>
      <c r="E88" s="48"/>
      <c r="G88" s="38"/>
      <c r="H88" s="38"/>
      <c r="J88" s="14"/>
      <c r="L88" s="38"/>
      <c r="M88" s="38"/>
      <c r="Q88" s="14"/>
      <c r="R88" s="203"/>
      <c r="S88" s="203"/>
      <c r="T88" s="203"/>
      <c r="U88" s="203"/>
      <c r="AC88" s="14"/>
      <c r="AK88" s="48"/>
      <c r="AL88" s="38"/>
      <c r="AM88" s="38"/>
      <c r="AN88" s="38"/>
      <c r="AO88" s="38"/>
      <c r="AP88" s="38"/>
      <c r="AQ88" s="38"/>
      <c r="AR88" s="38"/>
      <c r="AS88" s="38"/>
      <c r="AT88" s="38"/>
      <c r="AU88" s="48"/>
    </row>
    <row r="89" ht="15.75" customHeight="1">
      <c r="A89" s="33"/>
      <c r="B89" s="38">
        <v>4.0</v>
      </c>
      <c r="C89" s="48"/>
      <c r="D89" s="38"/>
      <c r="E89" s="48"/>
      <c r="F89" s="38"/>
      <c r="R89" s="203"/>
      <c r="S89" s="203"/>
      <c r="T89" s="203"/>
      <c r="U89" s="203"/>
      <c r="AB89" s="38"/>
      <c r="AC89" s="38"/>
      <c r="AD89" s="38"/>
      <c r="AE89" s="38"/>
      <c r="AF89" s="38"/>
      <c r="AG89" s="38"/>
      <c r="AH89" s="38"/>
      <c r="AI89" s="38"/>
      <c r="AJ89" s="38"/>
      <c r="AK89" s="48"/>
      <c r="AL89" s="38"/>
      <c r="AM89" s="38"/>
      <c r="AN89" s="38"/>
      <c r="AO89" s="38"/>
      <c r="AP89" s="38"/>
      <c r="AQ89" s="38"/>
      <c r="AR89" s="38"/>
      <c r="AS89" s="38"/>
      <c r="AT89" s="38"/>
      <c r="AU89" s="48"/>
    </row>
    <row r="90" ht="15.75" customHeight="1">
      <c r="A90" s="33"/>
      <c r="B90" s="38"/>
      <c r="C90" s="48"/>
      <c r="D90" s="38"/>
      <c r="E90" s="48"/>
      <c r="F90" s="38"/>
      <c r="G90" s="38"/>
      <c r="H90" s="38"/>
      <c r="I90" s="38"/>
      <c r="J90" s="38"/>
      <c r="K90" s="38"/>
      <c r="L90" s="38"/>
      <c r="M90" s="38"/>
      <c r="N90" s="38"/>
      <c r="O90" s="38"/>
      <c r="P90" s="38"/>
      <c r="Q90" s="38"/>
      <c r="R90" s="203"/>
      <c r="S90" s="203"/>
      <c r="T90" s="203"/>
      <c r="U90" s="203"/>
      <c r="V90" s="38"/>
      <c r="W90" s="38"/>
      <c r="X90" s="38"/>
      <c r="Y90" s="38"/>
      <c r="Z90" s="38"/>
      <c r="AA90" s="38"/>
      <c r="AB90" s="38"/>
      <c r="AC90" s="38"/>
      <c r="AD90" s="38"/>
      <c r="AE90" s="38"/>
      <c r="AF90" s="38"/>
      <c r="AG90" s="38"/>
      <c r="AH90" s="38"/>
      <c r="AI90" s="38"/>
      <c r="AJ90" s="38"/>
      <c r="AK90" s="48"/>
      <c r="AL90" s="38"/>
      <c r="AM90" s="38"/>
      <c r="AN90" s="38"/>
      <c r="AO90" s="38"/>
      <c r="AP90" s="38"/>
      <c r="AQ90" s="38"/>
      <c r="AR90" s="38"/>
      <c r="AS90" s="38"/>
      <c r="AT90" s="38"/>
      <c r="AU90" s="48"/>
    </row>
    <row r="91" ht="15.75" customHeight="1">
      <c r="A91" s="170" t="s">
        <v>2131</v>
      </c>
      <c r="B91" s="38">
        <v>1.0</v>
      </c>
      <c r="C91" s="48"/>
      <c r="D91" s="173" t="s">
        <v>305</v>
      </c>
      <c r="E91" s="173"/>
      <c r="F91" s="299" t="s">
        <v>2079</v>
      </c>
      <c r="G91" s="180"/>
      <c r="H91" s="180"/>
      <c r="I91" s="180"/>
      <c r="J91" s="38"/>
      <c r="K91" s="235"/>
      <c r="L91" s="38"/>
      <c r="M91" s="299" t="s">
        <v>2080</v>
      </c>
      <c r="N91" s="180"/>
      <c r="O91" s="180"/>
      <c r="P91" s="38"/>
      <c r="Q91" s="38"/>
      <c r="R91" s="203"/>
      <c r="S91" s="203"/>
      <c r="T91" s="203"/>
      <c r="U91" s="203"/>
      <c r="V91" s="299" t="s">
        <v>2081</v>
      </c>
      <c r="W91" s="180"/>
      <c r="X91" s="180"/>
      <c r="Y91" s="180"/>
      <c r="Z91" s="38"/>
      <c r="AA91" s="235"/>
      <c r="AB91" s="38"/>
      <c r="AC91" s="299" t="s">
        <v>2082</v>
      </c>
      <c r="AD91" s="180"/>
      <c r="AE91" s="180"/>
      <c r="AF91" s="38"/>
      <c r="AG91" s="38"/>
      <c r="AH91" s="299" t="s">
        <v>2083</v>
      </c>
      <c r="AI91" s="180"/>
      <c r="AJ91" s="180"/>
      <c r="AK91" s="349"/>
      <c r="AL91" s="38"/>
      <c r="AM91" s="38"/>
      <c r="AN91" s="38"/>
      <c r="AO91" s="38"/>
      <c r="AP91" s="38"/>
      <c r="AQ91" s="38"/>
      <c r="AR91" s="38"/>
      <c r="AS91" s="38"/>
      <c r="AT91" s="38"/>
      <c r="AU91" s="48"/>
    </row>
    <row r="92" ht="15.75" customHeight="1">
      <c r="A92" s="350" t="s">
        <v>2134</v>
      </c>
      <c r="B92" s="38">
        <v>2.0</v>
      </c>
      <c r="C92" s="48"/>
      <c r="D92" s="38"/>
      <c r="E92" s="48"/>
      <c r="F92" s="7" t="s">
        <v>2085</v>
      </c>
      <c r="G92" s="38"/>
      <c r="I92" s="351"/>
      <c r="J92" s="352" t="s">
        <v>2079</v>
      </c>
      <c r="K92" s="177"/>
      <c r="L92" s="112"/>
      <c r="N92" s="38"/>
      <c r="P92" s="352" t="s">
        <v>2080</v>
      </c>
      <c r="Q92" s="177"/>
      <c r="R92" s="203"/>
      <c r="S92" s="203"/>
      <c r="T92" s="203"/>
      <c r="U92" s="203"/>
      <c r="W92" s="38"/>
      <c r="Y92" s="351"/>
      <c r="Z92" s="352" t="s">
        <v>2081</v>
      </c>
      <c r="AA92" s="177"/>
      <c r="AB92" s="112"/>
      <c r="AD92" s="38"/>
      <c r="AF92" s="352" t="s">
        <v>2082</v>
      </c>
      <c r="AG92" s="177"/>
      <c r="AJ92" s="351"/>
      <c r="AK92" s="300"/>
      <c r="AL92" s="38"/>
      <c r="AM92" s="38"/>
      <c r="AN92" s="38"/>
      <c r="AO92" s="38"/>
      <c r="AP92" s="38"/>
      <c r="AQ92" s="38"/>
      <c r="AR92" s="38"/>
      <c r="AS92" s="38"/>
      <c r="AT92" s="38"/>
      <c r="AU92" s="48"/>
    </row>
    <row r="93" ht="15.75" customHeight="1">
      <c r="A93" s="33"/>
      <c r="B93" s="38">
        <v>3.0</v>
      </c>
      <c r="C93" s="48"/>
      <c r="D93" s="38"/>
      <c r="E93" s="48"/>
      <c r="F93" s="38"/>
      <c r="J93" s="38"/>
      <c r="R93" s="203"/>
      <c r="S93" s="203"/>
      <c r="T93" s="203"/>
      <c r="U93" s="203"/>
      <c r="Z93" s="38"/>
      <c r="AA93" s="38"/>
      <c r="AB93" s="38"/>
      <c r="AC93" s="38"/>
      <c r="AD93" s="38"/>
      <c r="AE93" s="38"/>
      <c r="AF93" s="38"/>
      <c r="AG93" s="38"/>
      <c r="AH93" s="38"/>
      <c r="AI93" s="38"/>
      <c r="AJ93" s="38"/>
      <c r="AK93" s="48"/>
      <c r="AL93" s="38"/>
      <c r="AM93" s="38"/>
      <c r="AN93" s="38"/>
      <c r="AO93" s="38"/>
      <c r="AP93" s="38"/>
      <c r="AQ93" s="38"/>
      <c r="AR93" s="38"/>
      <c r="AS93" s="38"/>
      <c r="AT93" s="38"/>
      <c r="AU93" s="48"/>
    </row>
    <row r="94" ht="15.75" customHeight="1">
      <c r="B94" s="38">
        <v>4.0</v>
      </c>
      <c r="C94" s="48"/>
      <c r="D94" s="38"/>
      <c r="E94" s="48"/>
      <c r="F94" s="38"/>
      <c r="G94" s="38"/>
      <c r="H94" s="38"/>
      <c r="K94" s="38"/>
      <c r="L94" s="235"/>
      <c r="R94" s="203"/>
      <c r="S94" s="203"/>
      <c r="T94" s="203"/>
      <c r="U94" s="203"/>
      <c r="V94" s="38"/>
      <c r="W94" s="38"/>
      <c r="X94" s="38"/>
      <c r="Y94" s="38"/>
      <c r="Z94" s="38"/>
      <c r="AA94" s="38"/>
      <c r="AB94" s="38"/>
      <c r="AC94" s="38"/>
      <c r="AD94" s="38"/>
      <c r="AE94" s="38"/>
      <c r="AF94" s="38"/>
      <c r="AG94" s="38"/>
      <c r="AH94" s="38"/>
      <c r="AI94" s="38"/>
      <c r="AJ94" s="38"/>
      <c r="AK94" s="48"/>
      <c r="AL94" s="38"/>
      <c r="AM94" s="38"/>
      <c r="AN94" s="38"/>
      <c r="AO94" s="38"/>
      <c r="AP94" s="38"/>
      <c r="AQ94" s="38"/>
      <c r="AR94" s="38"/>
      <c r="AS94" s="38"/>
      <c r="AT94" s="38"/>
      <c r="AU94" s="48"/>
    </row>
    <row r="95" ht="15.75" customHeight="1">
      <c r="A95" s="33"/>
      <c r="B95" s="38">
        <v>5.0</v>
      </c>
      <c r="C95" s="48"/>
      <c r="D95" s="38"/>
      <c r="E95" s="48"/>
      <c r="F95" s="38"/>
      <c r="G95" s="38"/>
      <c r="M95" s="38"/>
      <c r="N95" s="235"/>
      <c r="R95" s="203"/>
      <c r="S95" s="203"/>
      <c r="T95" s="203"/>
      <c r="U95" s="203"/>
      <c r="V95" s="38"/>
      <c r="W95" s="38"/>
      <c r="X95" s="38"/>
      <c r="Y95" s="38"/>
      <c r="Z95" s="38"/>
      <c r="AA95" s="38"/>
      <c r="AB95" s="38"/>
      <c r="AC95" s="38"/>
      <c r="AD95" s="38"/>
      <c r="AE95" s="38"/>
      <c r="AF95" s="38"/>
      <c r="AG95" s="38"/>
      <c r="AH95" s="38"/>
      <c r="AI95" s="38"/>
      <c r="AJ95" s="38"/>
      <c r="AK95" s="48"/>
      <c r="AL95" s="38"/>
      <c r="AM95" s="38"/>
      <c r="AN95" s="38"/>
      <c r="AO95" s="38"/>
      <c r="AP95" s="38"/>
      <c r="AQ95" s="38"/>
      <c r="AR95" s="38"/>
      <c r="AS95" s="38"/>
      <c r="AT95" s="38"/>
      <c r="AU95" s="48"/>
    </row>
    <row r="96" ht="15.75" customHeight="1">
      <c r="A96" s="33"/>
      <c r="B96" s="38">
        <v>6.0</v>
      </c>
      <c r="C96" s="48"/>
      <c r="D96" s="38"/>
      <c r="E96" s="48"/>
      <c r="O96" s="38"/>
      <c r="P96" s="235"/>
      <c r="Q96" s="235"/>
      <c r="R96" s="203"/>
      <c r="S96" s="203"/>
      <c r="T96" s="203"/>
      <c r="U96" s="203"/>
      <c r="V96" s="38"/>
      <c r="W96" s="38"/>
      <c r="X96" s="38"/>
      <c r="Y96" s="38"/>
      <c r="Z96" s="38"/>
      <c r="AA96" s="38"/>
      <c r="AB96" s="38"/>
      <c r="AC96" s="38"/>
      <c r="AD96" s="38"/>
      <c r="AE96" s="38"/>
      <c r="AF96" s="38"/>
      <c r="AG96" s="38"/>
      <c r="AH96" s="38"/>
      <c r="AI96" s="38"/>
      <c r="AJ96" s="38"/>
      <c r="AK96" s="48"/>
      <c r="AL96" s="38"/>
      <c r="AM96" s="38"/>
      <c r="AN96" s="38"/>
      <c r="AO96" s="38"/>
      <c r="AP96" s="38"/>
      <c r="AQ96" s="38"/>
      <c r="AR96" s="38"/>
      <c r="AS96" s="38"/>
      <c r="AT96" s="38"/>
      <c r="AU96" s="48"/>
    </row>
    <row r="97" ht="15.75" customHeight="1">
      <c r="A97" s="33"/>
      <c r="B97" s="38"/>
      <c r="C97" s="48"/>
      <c r="D97" s="38"/>
      <c r="E97" s="48"/>
      <c r="F97" s="38"/>
      <c r="G97" s="38"/>
      <c r="H97" s="38"/>
      <c r="I97" s="38"/>
      <c r="J97" s="38"/>
      <c r="K97" s="38"/>
      <c r="L97" s="38"/>
      <c r="M97" s="38"/>
      <c r="N97" s="38"/>
      <c r="O97" s="38"/>
      <c r="P97" s="38"/>
      <c r="Q97" s="38"/>
      <c r="R97" s="203"/>
      <c r="S97" s="203"/>
      <c r="T97" s="203"/>
      <c r="U97" s="203"/>
      <c r="V97" s="38"/>
      <c r="W97" s="38"/>
      <c r="X97" s="38"/>
      <c r="Y97" s="38"/>
      <c r="Z97" s="38"/>
      <c r="AA97" s="38"/>
      <c r="AB97" s="38"/>
      <c r="AC97" s="38"/>
      <c r="AD97" s="38"/>
      <c r="AE97" s="38"/>
      <c r="AF97" s="38"/>
      <c r="AG97" s="38"/>
      <c r="AH97" s="38"/>
      <c r="AI97" s="38"/>
      <c r="AJ97" s="38"/>
      <c r="AK97" s="48"/>
      <c r="AL97" s="38"/>
      <c r="AM97" s="38"/>
      <c r="AN97" s="38"/>
      <c r="AO97" s="38"/>
      <c r="AP97" s="38"/>
      <c r="AQ97" s="38"/>
      <c r="AR97" s="38"/>
      <c r="AS97" s="38"/>
      <c r="AT97" s="38"/>
      <c r="AU97" s="48"/>
    </row>
    <row r="98" ht="15.75" customHeight="1">
      <c r="A98" s="170" t="s">
        <v>2136</v>
      </c>
      <c r="B98" s="38">
        <v>1.0</v>
      </c>
      <c r="C98" s="48"/>
      <c r="D98" s="173" t="s">
        <v>305</v>
      </c>
      <c r="E98" s="173"/>
      <c r="F98" s="299" t="s">
        <v>2069</v>
      </c>
      <c r="G98" s="180"/>
      <c r="H98" s="180"/>
      <c r="I98" s="180"/>
      <c r="J98" s="38"/>
      <c r="K98" s="235"/>
      <c r="L98" s="38"/>
      <c r="M98" s="299" t="s">
        <v>2070</v>
      </c>
      <c r="N98" s="180"/>
      <c r="O98" s="180"/>
      <c r="P98" s="38"/>
      <c r="Q98" s="38"/>
      <c r="R98" s="203"/>
      <c r="S98" s="203"/>
      <c r="T98" s="203"/>
      <c r="U98" s="203"/>
      <c r="V98" s="299" t="s">
        <v>2071</v>
      </c>
      <c r="W98" s="180"/>
      <c r="X98" s="180"/>
      <c r="Y98" s="180"/>
      <c r="Z98" s="38"/>
      <c r="AA98" s="235"/>
      <c r="AB98" s="38"/>
      <c r="AC98" s="299" t="s">
        <v>2072</v>
      </c>
      <c r="AD98" s="180"/>
      <c r="AE98" s="180"/>
      <c r="AF98" s="38"/>
      <c r="AG98" s="38"/>
      <c r="AH98" s="299" t="s">
        <v>2073</v>
      </c>
      <c r="AI98" s="180"/>
      <c r="AJ98" s="180"/>
      <c r="AK98" s="349"/>
      <c r="AL98" s="38"/>
      <c r="AM98" s="38"/>
      <c r="AN98" s="38"/>
      <c r="AO98" s="38"/>
      <c r="AP98" s="38"/>
      <c r="AQ98" s="38"/>
      <c r="AR98" s="38"/>
      <c r="AS98" s="38"/>
      <c r="AT98" s="38"/>
      <c r="AU98" s="48"/>
    </row>
    <row r="99" ht="15.75" customHeight="1">
      <c r="A99" s="350" t="s">
        <v>2138</v>
      </c>
      <c r="B99" s="38">
        <v>2.0</v>
      </c>
      <c r="C99" s="48"/>
      <c r="D99" s="38"/>
      <c r="E99" s="48"/>
      <c r="F99" s="7" t="s">
        <v>2075</v>
      </c>
      <c r="G99" s="38"/>
      <c r="I99" s="351"/>
      <c r="J99" s="352" t="s">
        <v>2069</v>
      </c>
      <c r="K99" s="177"/>
      <c r="L99" s="112"/>
      <c r="N99" s="38"/>
      <c r="P99" s="352" t="s">
        <v>2070</v>
      </c>
      <c r="Q99" s="177"/>
      <c r="R99" s="203"/>
      <c r="S99" s="203"/>
      <c r="T99" s="203"/>
      <c r="U99" s="203"/>
      <c r="W99" s="38"/>
      <c r="Y99" s="351"/>
      <c r="Z99" s="352" t="s">
        <v>2071</v>
      </c>
      <c r="AA99" s="177"/>
      <c r="AB99" s="112"/>
      <c r="AD99" s="38"/>
      <c r="AF99" s="352" t="s">
        <v>2072</v>
      </c>
      <c r="AG99" s="177"/>
      <c r="AH99" s="7" t="s">
        <v>1653</v>
      </c>
      <c r="AJ99" s="351"/>
      <c r="AK99" s="300"/>
      <c r="AL99" s="38"/>
      <c r="AM99" s="38"/>
      <c r="AN99" s="38"/>
      <c r="AO99" s="38"/>
      <c r="AP99" s="38"/>
      <c r="AQ99" s="38"/>
      <c r="AR99" s="38"/>
      <c r="AS99" s="38"/>
      <c r="AT99" s="38"/>
      <c r="AU99" s="48"/>
    </row>
    <row r="100" ht="15.75" customHeight="1">
      <c r="A100" s="33"/>
      <c r="B100" s="38">
        <v>3.0</v>
      </c>
      <c r="C100" s="48"/>
      <c r="D100" s="38"/>
      <c r="E100" s="48"/>
      <c r="F100" s="7" t="s">
        <v>1897</v>
      </c>
      <c r="L100" s="14"/>
      <c r="O100" s="38"/>
      <c r="P100" s="38"/>
      <c r="Q100" s="38"/>
      <c r="R100" s="203"/>
      <c r="S100" s="203"/>
      <c r="T100" s="203"/>
      <c r="U100" s="203"/>
      <c r="X100" s="38"/>
      <c r="Y100" s="38"/>
      <c r="Z100" s="38"/>
      <c r="AB100" s="14"/>
      <c r="AC100" s="38"/>
      <c r="AF100" s="38"/>
      <c r="AJ100" s="14"/>
      <c r="AK100" s="38"/>
      <c r="AL100" s="38"/>
      <c r="AM100" s="38"/>
      <c r="AN100" s="38"/>
      <c r="AO100" s="38"/>
      <c r="AP100" s="38"/>
      <c r="AQ100" s="38"/>
      <c r="AR100" s="38"/>
      <c r="AS100" s="38"/>
      <c r="AT100" s="38"/>
      <c r="AU100" s="48"/>
    </row>
    <row r="101" ht="15.75" customHeight="1">
      <c r="B101" s="38">
        <v>4.0</v>
      </c>
      <c r="C101" s="48"/>
      <c r="D101" s="38"/>
      <c r="E101" s="48"/>
      <c r="F101" s="38"/>
      <c r="G101" s="38"/>
      <c r="H101" s="38"/>
      <c r="I101" s="38"/>
      <c r="J101" s="38"/>
      <c r="K101" s="38"/>
      <c r="L101" s="38"/>
      <c r="M101" s="38"/>
      <c r="N101" s="38"/>
      <c r="O101" s="38"/>
      <c r="P101" s="38"/>
      <c r="Q101" s="38"/>
      <c r="R101" s="203"/>
      <c r="S101" s="203"/>
      <c r="T101" s="203"/>
      <c r="U101" s="203"/>
      <c r="V101" s="38"/>
      <c r="W101" s="38"/>
      <c r="X101" s="38"/>
      <c r="Y101" s="38"/>
      <c r="Z101" s="38"/>
      <c r="AA101" s="38"/>
      <c r="AB101" s="38"/>
      <c r="AC101" s="38"/>
      <c r="AD101" s="38"/>
      <c r="AE101" s="38"/>
      <c r="AF101" s="38"/>
      <c r="AG101" s="38"/>
      <c r="AH101" s="38"/>
      <c r="AI101" s="38"/>
      <c r="AJ101" s="38"/>
      <c r="AK101" s="48"/>
      <c r="AL101" s="38"/>
      <c r="AM101" s="38"/>
      <c r="AN101" s="38"/>
      <c r="AO101" s="38"/>
      <c r="AP101" s="38"/>
      <c r="AQ101" s="38"/>
      <c r="AR101" s="38"/>
      <c r="AS101" s="38"/>
      <c r="AT101" s="38"/>
      <c r="AU101" s="48"/>
    </row>
    <row r="102" ht="15.75" customHeight="1">
      <c r="A102" s="33"/>
      <c r="B102" s="38">
        <v>5.0</v>
      </c>
      <c r="C102" s="48"/>
      <c r="D102" s="38"/>
      <c r="E102" s="48"/>
      <c r="F102" s="38"/>
      <c r="G102" s="38"/>
      <c r="H102" s="38"/>
      <c r="I102" s="38"/>
      <c r="J102" s="38"/>
      <c r="K102" s="38"/>
      <c r="L102" s="38"/>
      <c r="M102" s="38"/>
      <c r="N102" s="38"/>
      <c r="O102" s="38"/>
      <c r="P102" s="38"/>
      <c r="Q102" s="38"/>
      <c r="R102" s="203"/>
      <c r="S102" s="203"/>
      <c r="T102" s="203"/>
      <c r="U102" s="203"/>
      <c r="V102" s="38"/>
      <c r="W102" s="38"/>
      <c r="X102" s="38"/>
      <c r="Y102" s="38"/>
      <c r="Z102" s="38"/>
      <c r="AA102" s="38"/>
      <c r="AB102" s="38"/>
      <c r="AC102" s="38"/>
      <c r="AD102" s="38"/>
      <c r="AE102" s="38"/>
      <c r="AF102" s="38"/>
      <c r="AG102" s="38"/>
      <c r="AH102" s="38"/>
      <c r="AI102" s="38"/>
      <c r="AJ102" s="38"/>
      <c r="AK102" s="48"/>
      <c r="AL102" s="38"/>
      <c r="AM102" s="38"/>
      <c r="AN102" s="38"/>
      <c r="AO102" s="38"/>
      <c r="AP102" s="38"/>
      <c r="AQ102" s="38"/>
      <c r="AR102" s="38"/>
      <c r="AS102" s="38"/>
      <c r="AT102" s="38"/>
      <c r="AU102" s="48"/>
    </row>
    <row r="103" ht="15.75" customHeight="1">
      <c r="A103" s="33"/>
      <c r="B103" s="38">
        <v>6.0</v>
      </c>
      <c r="C103" s="48"/>
      <c r="D103" s="38"/>
      <c r="E103" s="48"/>
      <c r="F103" s="38"/>
      <c r="G103" s="38"/>
      <c r="H103" s="38"/>
      <c r="I103" s="38"/>
      <c r="J103" s="38"/>
      <c r="K103" s="38"/>
      <c r="L103" s="38"/>
      <c r="M103" s="38"/>
      <c r="N103" s="38"/>
      <c r="O103" s="38"/>
      <c r="P103" s="38"/>
      <c r="Q103" s="38"/>
      <c r="R103" s="203"/>
      <c r="S103" s="203"/>
      <c r="T103" s="203"/>
      <c r="U103" s="203"/>
      <c r="V103" s="38"/>
      <c r="W103" s="38"/>
      <c r="X103" s="38"/>
      <c r="Y103" s="38"/>
      <c r="Z103" s="38"/>
      <c r="AA103" s="38"/>
      <c r="AB103" s="38"/>
      <c r="AC103" s="38"/>
      <c r="AD103" s="38"/>
      <c r="AE103" s="38"/>
      <c r="AF103" s="38"/>
      <c r="AG103" s="38"/>
      <c r="AH103" s="38"/>
      <c r="AI103" s="38"/>
      <c r="AJ103" s="38"/>
      <c r="AK103" s="48"/>
      <c r="AL103" s="38"/>
      <c r="AM103" s="38"/>
      <c r="AN103" s="38"/>
      <c r="AO103" s="38"/>
      <c r="AP103" s="38"/>
      <c r="AQ103" s="38"/>
      <c r="AR103" s="38"/>
      <c r="AS103" s="38"/>
      <c r="AT103" s="38"/>
      <c r="AU103" s="48"/>
    </row>
    <row r="104" ht="15.75" customHeight="1">
      <c r="A104" s="33"/>
      <c r="B104" s="38"/>
      <c r="C104" s="48"/>
      <c r="D104" s="38"/>
      <c r="E104" s="48"/>
      <c r="F104" s="38"/>
      <c r="G104" s="38"/>
      <c r="H104" s="38"/>
      <c r="I104" s="38"/>
      <c r="J104" s="38"/>
      <c r="K104" s="38"/>
      <c r="L104" s="38"/>
      <c r="M104" s="38"/>
      <c r="N104" s="38"/>
      <c r="O104" s="38"/>
      <c r="P104" s="38"/>
      <c r="Q104" s="38"/>
      <c r="R104" s="203"/>
      <c r="S104" s="203"/>
      <c r="T104" s="203"/>
      <c r="U104" s="203"/>
      <c r="V104" s="38"/>
      <c r="W104" s="38"/>
      <c r="X104" s="38"/>
      <c r="Y104" s="38"/>
      <c r="Z104" s="38"/>
      <c r="AA104" s="38"/>
      <c r="AB104" s="38"/>
      <c r="AC104" s="38"/>
      <c r="AD104" s="38"/>
      <c r="AE104" s="38"/>
      <c r="AF104" s="38"/>
      <c r="AG104" s="38"/>
      <c r="AH104" s="38"/>
      <c r="AI104" s="38"/>
      <c r="AJ104" s="38"/>
      <c r="AK104" s="48"/>
      <c r="AL104" s="38"/>
      <c r="AM104" s="38"/>
      <c r="AN104" s="38"/>
      <c r="AO104" s="38"/>
      <c r="AP104" s="38"/>
      <c r="AQ104" s="38"/>
      <c r="AR104" s="38"/>
      <c r="AS104" s="38"/>
      <c r="AT104" s="38"/>
      <c r="AU104" s="48"/>
    </row>
    <row r="105" ht="15.75" customHeight="1">
      <c r="A105" s="170" t="s">
        <v>2140</v>
      </c>
      <c r="B105" s="38">
        <v>1.0</v>
      </c>
      <c r="C105" s="48"/>
      <c r="D105" s="173" t="s">
        <v>305</v>
      </c>
      <c r="E105" s="173"/>
      <c r="F105" s="299" t="s">
        <v>2093</v>
      </c>
      <c r="G105" s="180"/>
      <c r="H105" s="180"/>
      <c r="I105" s="180"/>
      <c r="M105" s="299" t="s">
        <v>2094</v>
      </c>
      <c r="N105" s="180"/>
      <c r="O105" s="180"/>
      <c r="P105" s="300"/>
      <c r="Q105" s="300"/>
      <c r="R105" s="203"/>
      <c r="S105" s="203"/>
      <c r="T105" s="203"/>
      <c r="U105" s="203"/>
      <c r="V105" s="299" t="s">
        <v>2025</v>
      </c>
      <c r="W105" s="180"/>
      <c r="X105" s="180"/>
      <c r="Y105" s="180"/>
      <c r="AC105" s="299" t="s">
        <v>2095</v>
      </c>
      <c r="AD105" s="180"/>
      <c r="AE105" s="180"/>
      <c r="AF105" s="180"/>
      <c r="AG105" s="180"/>
      <c r="AH105" s="38"/>
      <c r="AI105" s="38"/>
      <c r="AJ105" s="38"/>
      <c r="AK105" s="235"/>
      <c r="AL105" s="38"/>
      <c r="AM105" s="38"/>
      <c r="AN105" s="38"/>
      <c r="AO105" s="38"/>
      <c r="AP105" s="38"/>
      <c r="AQ105" s="38"/>
      <c r="AR105" s="38"/>
      <c r="AS105" s="38"/>
      <c r="AT105" s="38"/>
      <c r="AU105" s="48"/>
    </row>
    <row r="106" ht="15.75" customHeight="1">
      <c r="A106" s="350" t="s">
        <v>2145</v>
      </c>
      <c r="B106" s="38">
        <v>2.0</v>
      </c>
      <c r="C106" s="48"/>
      <c r="D106" s="38"/>
      <c r="E106" s="48"/>
      <c r="F106" s="7" t="s">
        <v>2040</v>
      </c>
      <c r="J106" s="294" t="s">
        <v>2093</v>
      </c>
      <c r="K106" s="177"/>
      <c r="L106" s="177"/>
      <c r="M106" s="7" t="s">
        <v>2097</v>
      </c>
      <c r="P106" s="294" t="s">
        <v>2094</v>
      </c>
      <c r="Q106" s="177"/>
      <c r="R106" s="203"/>
      <c r="S106" s="203"/>
      <c r="T106" s="203"/>
      <c r="U106" s="203"/>
      <c r="V106" s="7" t="s">
        <v>1027</v>
      </c>
      <c r="Z106" s="294" t="s">
        <v>2025</v>
      </c>
      <c r="AA106" s="177"/>
      <c r="AB106" s="177"/>
      <c r="AC106" s="7" t="s">
        <v>2098</v>
      </c>
      <c r="AH106" s="294" t="s">
        <v>2095</v>
      </c>
      <c r="AI106" s="177"/>
      <c r="AJ106" s="309"/>
      <c r="AK106" s="309"/>
      <c r="AL106" s="38"/>
      <c r="AM106" s="38"/>
      <c r="AN106" s="38"/>
      <c r="AO106" s="38"/>
      <c r="AP106" s="38"/>
      <c r="AQ106" s="38"/>
      <c r="AR106" s="38"/>
      <c r="AS106" s="38"/>
      <c r="AT106" s="38"/>
      <c r="AU106" s="48"/>
    </row>
    <row r="107" ht="15.75" customHeight="1">
      <c r="A107" s="33"/>
      <c r="B107" s="38">
        <v>3.0</v>
      </c>
      <c r="C107" s="48"/>
      <c r="D107" s="38"/>
      <c r="E107" s="48"/>
      <c r="F107" s="43" t="s">
        <v>2099</v>
      </c>
      <c r="G107" s="38"/>
      <c r="H107" s="38"/>
      <c r="I107" s="38"/>
      <c r="J107" s="38"/>
      <c r="K107" s="38"/>
      <c r="L107" s="38"/>
      <c r="M107" s="38"/>
      <c r="N107" s="38"/>
      <c r="O107" s="38"/>
      <c r="P107" s="38"/>
      <c r="Q107" s="38"/>
      <c r="R107" s="203"/>
      <c r="S107" s="203"/>
      <c r="T107" s="203"/>
      <c r="U107" s="203"/>
      <c r="AL107" s="38"/>
      <c r="AM107" s="38"/>
      <c r="AN107" s="38"/>
      <c r="AO107" s="38"/>
      <c r="AP107" s="38"/>
      <c r="AQ107" s="38"/>
      <c r="AR107" s="38"/>
      <c r="AS107" s="38"/>
      <c r="AT107" s="38"/>
      <c r="AU107" s="48"/>
    </row>
    <row r="108" ht="15.75" customHeight="1">
      <c r="A108" s="33"/>
      <c r="B108" s="38">
        <v>4.0</v>
      </c>
      <c r="C108" s="48"/>
      <c r="D108" s="38"/>
      <c r="E108" s="48"/>
      <c r="F108" s="38"/>
      <c r="G108" s="38"/>
      <c r="H108" s="38"/>
      <c r="I108" s="38"/>
      <c r="J108" s="38"/>
      <c r="K108" s="38"/>
      <c r="L108" s="38"/>
      <c r="M108" s="38"/>
      <c r="N108" s="38"/>
      <c r="O108" s="38"/>
      <c r="P108" s="38"/>
      <c r="Q108" s="38"/>
      <c r="R108" s="203"/>
      <c r="S108" s="203"/>
      <c r="T108" s="203"/>
      <c r="U108" s="203"/>
      <c r="V108" s="38"/>
      <c r="W108" s="38"/>
      <c r="X108" s="38"/>
      <c r="Y108" s="38"/>
      <c r="Z108" s="38"/>
      <c r="AA108" s="38"/>
      <c r="AB108" s="38"/>
      <c r="AC108" s="38"/>
      <c r="AD108" s="38"/>
      <c r="AE108" s="38"/>
      <c r="AF108" s="38"/>
      <c r="AG108" s="38"/>
      <c r="AH108" s="38"/>
      <c r="AI108" s="38"/>
      <c r="AJ108" s="38"/>
      <c r="AK108" s="48"/>
      <c r="AL108" s="38"/>
      <c r="AM108" s="38"/>
      <c r="AN108" s="38"/>
      <c r="AO108" s="38"/>
      <c r="AP108" s="38"/>
      <c r="AQ108" s="38"/>
      <c r="AR108" s="38"/>
      <c r="AS108" s="38"/>
      <c r="AT108" s="38"/>
      <c r="AU108" s="48"/>
    </row>
    <row r="109" ht="15.75" customHeight="1">
      <c r="A109" s="33"/>
      <c r="B109" s="38">
        <v>5.0</v>
      </c>
      <c r="C109" s="48"/>
      <c r="D109" s="38"/>
      <c r="E109" s="48"/>
      <c r="F109" s="38"/>
      <c r="G109" s="38"/>
      <c r="H109" s="38"/>
      <c r="I109" s="38"/>
      <c r="J109" s="38"/>
      <c r="K109" s="38"/>
      <c r="L109" s="38"/>
      <c r="M109" s="38"/>
      <c r="N109" s="38"/>
      <c r="O109" s="38"/>
      <c r="P109" s="38"/>
      <c r="Q109" s="38"/>
      <c r="R109" s="203"/>
      <c r="S109" s="203"/>
      <c r="T109" s="203"/>
      <c r="U109" s="203"/>
      <c r="V109" s="38"/>
      <c r="W109" s="38"/>
      <c r="X109" s="38"/>
      <c r="Y109" s="38"/>
      <c r="Z109" s="38"/>
      <c r="AA109" s="38"/>
      <c r="AB109" s="38"/>
      <c r="AC109" s="38"/>
      <c r="AD109" s="38"/>
      <c r="AE109" s="38"/>
      <c r="AF109" s="38"/>
      <c r="AG109" s="38"/>
      <c r="AH109" s="38"/>
      <c r="AI109" s="38"/>
      <c r="AJ109" s="38"/>
      <c r="AK109" s="48"/>
      <c r="AL109" s="38"/>
      <c r="AM109" s="38"/>
      <c r="AN109" s="38"/>
      <c r="AO109" s="38"/>
      <c r="AP109" s="38"/>
      <c r="AQ109" s="38"/>
      <c r="AR109" s="38"/>
      <c r="AS109" s="38"/>
      <c r="AT109" s="38"/>
      <c r="AU109" s="48"/>
    </row>
    <row r="110" ht="15.75" customHeight="1">
      <c r="A110" s="33"/>
      <c r="B110" s="38">
        <v>6.0</v>
      </c>
      <c r="C110" s="48"/>
      <c r="D110" s="38"/>
      <c r="E110" s="48"/>
      <c r="F110" s="38"/>
      <c r="G110" s="38"/>
      <c r="H110" s="38"/>
      <c r="I110" s="38"/>
      <c r="J110" s="38"/>
      <c r="K110" s="38"/>
      <c r="L110" s="38"/>
      <c r="M110" s="38"/>
      <c r="N110" s="38"/>
      <c r="O110" s="38"/>
      <c r="P110" s="38"/>
      <c r="Q110" s="38"/>
      <c r="R110" s="203"/>
      <c r="S110" s="203"/>
      <c r="T110" s="203"/>
      <c r="U110" s="203"/>
      <c r="V110" s="38"/>
      <c r="W110" s="38"/>
      <c r="X110" s="38"/>
      <c r="Y110" s="38"/>
      <c r="Z110" s="38"/>
      <c r="AA110" s="38"/>
      <c r="AB110" s="38"/>
      <c r="AC110" s="38"/>
      <c r="AD110" s="38"/>
      <c r="AE110" s="38"/>
      <c r="AF110" s="38"/>
      <c r="AG110" s="38"/>
      <c r="AH110" s="38"/>
      <c r="AI110" s="38"/>
      <c r="AJ110" s="38"/>
      <c r="AK110" s="48"/>
      <c r="AL110" s="38"/>
      <c r="AM110" s="38"/>
      <c r="AN110" s="38"/>
      <c r="AO110" s="38"/>
      <c r="AP110" s="38"/>
      <c r="AQ110" s="38"/>
      <c r="AR110" s="38"/>
      <c r="AS110" s="38"/>
      <c r="AT110" s="38"/>
      <c r="AU110" s="48"/>
    </row>
    <row r="111" ht="15.75" customHeight="1">
      <c r="A111" s="33"/>
      <c r="B111" s="38"/>
      <c r="C111" s="48"/>
      <c r="D111" s="38"/>
      <c r="E111" s="48"/>
      <c r="F111" s="38"/>
      <c r="G111" s="38"/>
      <c r="H111" s="38"/>
      <c r="I111" s="38"/>
      <c r="J111" s="38"/>
      <c r="K111" s="38"/>
      <c r="L111" s="38"/>
      <c r="M111" s="38"/>
      <c r="N111" s="38"/>
      <c r="O111" s="38"/>
      <c r="P111" s="38"/>
      <c r="Q111" s="38"/>
      <c r="R111" s="203"/>
      <c r="S111" s="203"/>
      <c r="T111" s="203"/>
      <c r="U111" s="203"/>
      <c r="V111" s="38"/>
      <c r="W111" s="38"/>
      <c r="X111" s="38"/>
      <c r="Y111" s="38"/>
      <c r="Z111" s="38"/>
      <c r="AA111" s="38"/>
      <c r="AB111" s="38"/>
      <c r="AC111" s="38"/>
      <c r="AD111" s="38"/>
      <c r="AE111" s="38"/>
      <c r="AF111" s="38"/>
      <c r="AG111" s="38"/>
      <c r="AH111" s="38"/>
      <c r="AI111" s="38"/>
      <c r="AJ111" s="38"/>
      <c r="AK111" s="48"/>
      <c r="AL111" s="38"/>
      <c r="AM111" s="38"/>
      <c r="AN111" s="38"/>
      <c r="AO111" s="38"/>
      <c r="AP111" s="38"/>
      <c r="AQ111" s="38"/>
      <c r="AR111" s="38"/>
      <c r="AS111" s="38"/>
      <c r="AT111" s="38"/>
      <c r="AU111" s="48"/>
    </row>
    <row r="112" ht="15.75" customHeight="1">
      <c r="A112" s="170" t="s">
        <v>2103</v>
      </c>
      <c r="B112" s="38">
        <v>1.0</v>
      </c>
      <c r="C112" s="48"/>
      <c r="D112" s="173" t="s">
        <v>305</v>
      </c>
      <c r="E112" s="173"/>
      <c r="F112" s="299" t="s">
        <v>2104</v>
      </c>
      <c r="G112" s="180"/>
      <c r="H112" s="180"/>
      <c r="I112" s="180"/>
      <c r="J112" s="38"/>
      <c r="K112" s="235"/>
      <c r="L112" s="38"/>
      <c r="M112" s="299" t="s">
        <v>2105</v>
      </c>
      <c r="N112" s="180"/>
      <c r="O112" s="180"/>
      <c r="P112" s="38"/>
      <c r="Q112" s="38"/>
      <c r="R112" s="203"/>
      <c r="S112" s="203"/>
      <c r="T112" s="203"/>
      <c r="U112" s="203"/>
      <c r="V112" s="299" t="s">
        <v>2106</v>
      </c>
      <c r="W112" s="180"/>
      <c r="X112" s="180"/>
      <c r="Y112" s="180"/>
      <c r="Z112" s="38"/>
      <c r="AA112" s="235"/>
      <c r="AB112" s="38"/>
      <c r="AC112" s="299" t="s">
        <v>2107</v>
      </c>
      <c r="AD112" s="180"/>
      <c r="AE112" s="180"/>
      <c r="AF112" s="38"/>
      <c r="AG112" s="38"/>
      <c r="AH112" s="299" t="s">
        <v>2108</v>
      </c>
      <c r="AI112" s="180"/>
      <c r="AJ112" s="180"/>
      <c r="AK112" s="349"/>
      <c r="AL112" s="38"/>
      <c r="AM112" s="38"/>
      <c r="AN112" s="38"/>
      <c r="AO112" s="38"/>
      <c r="AP112" s="38"/>
      <c r="AQ112" s="38"/>
      <c r="AR112" s="38"/>
      <c r="AS112" s="38"/>
      <c r="AT112" s="38"/>
      <c r="AU112" s="48"/>
    </row>
    <row r="113" ht="15.75" customHeight="1">
      <c r="A113" s="216" t="s">
        <v>2155</v>
      </c>
      <c r="B113" s="38">
        <v>2.0</v>
      </c>
      <c r="C113" s="48"/>
      <c r="D113" s="38"/>
      <c r="E113" s="48"/>
      <c r="F113" s="7" t="s">
        <v>2040</v>
      </c>
      <c r="G113" s="38"/>
      <c r="I113" s="351"/>
      <c r="J113" s="352" t="s">
        <v>2110</v>
      </c>
      <c r="K113" s="177"/>
      <c r="L113" s="112"/>
      <c r="M113" s="7" t="s">
        <v>2111</v>
      </c>
      <c r="N113" s="38"/>
      <c r="P113" s="352" t="s">
        <v>2105</v>
      </c>
      <c r="Q113" s="177"/>
      <c r="R113" s="203"/>
      <c r="S113" s="203"/>
      <c r="T113" s="203"/>
      <c r="U113" s="203"/>
      <c r="V113" s="7" t="s">
        <v>2097</v>
      </c>
      <c r="W113" s="38"/>
      <c r="Y113" s="351"/>
      <c r="Z113" s="352" t="s">
        <v>2112</v>
      </c>
      <c r="AA113" s="177"/>
      <c r="AB113" s="112"/>
      <c r="AC113" s="7" t="s">
        <v>1998</v>
      </c>
      <c r="AD113" s="38"/>
      <c r="AF113" s="352" t="s">
        <v>2108</v>
      </c>
      <c r="AG113" s="177"/>
      <c r="AJ113" s="351"/>
      <c r="AK113" s="300"/>
      <c r="AL113" s="38"/>
      <c r="AM113" s="38"/>
      <c r="AN113" s="38"/>
      <c r="AO113" s="38"/>
      <c r="AP113" s="38"/>
      <c r="AQ113" s="38"/>
      <c r="AR113" s="38"/>
      <c r="AS113" s="38"/>
      <c r="AT113" s="38"/>
      <c r="AU113" s="48"/>
    </row>
    <row r="114" ht="15.75" customHeight="1">
      <c r="B114" s="38">
        <v>3.0</v>
      </c>
      <c r="C114" s="48"/>
      <c r="D114" s="38"/>
      <c r="E114" s="48"/>
      <c r="G114" s="38"/>
      <c r="H114" s="38"/>
      <c r="I114" s="38"/>
      <c r="J114" s="38"/>
      <c r="K114" s="38"/>
      <c r="L114" s="38"/>
      <c r="M114" s="38"/>
      <c r="N114" s="38"/>
      <c r="O114" s="38"/>
      <c r="P114" s="38"/>
      <c r="Q114" s="38"/>
      <c r="R114" s="203"/>
      <c r="S114" s="203"/>
      <c r="T114" s="203"/>
      <c r="U114" s="203"/>
      <c r="Z114" s="7" t="s">
        <v>2113</v>
      </c>
      <c r="AL114" s="38"/>
      <c r="AM114" s="38"/>
      <c r="AN114" s="38"/>
      <c r="AO114" s="38"/>
      <c r="AP114" s="38"/>
      <c r="AQ114" s="38"/>
      <c r="AR114" s="38"/>
      <c r="AS114" s="38"/>
      <c r="AT114" s="38"/>
      <c r="AU114" s="48"/>
    </row>
    <row r="115" ht="15.75" customHeight="1">
      <c r="B115" s="38">
        <v>4.0</v>
      </c>
      <c r="C115" s="48"/>
      <c r="D115" s="38"/>
      <c r="E115" s="48"/>
      <c r="F115" s="38"/>
      <c r="G115" s="38"/>
      <c r="H115" s="38"/>
      <c r="I115" s="38"/>
      <c r="J115" s="38"/>
      <c r="K115" s="38"/>
      <c r="L115" s="38"/>
      <c r="M115" s="38"/>
      <c r="N115" s="38"/>
      <c r="O115" s="38"/>
      <c r="P115" s="38"/>
      <c r="Q115" s="38"/>
      <c r="R115" s="203"/>
      <c r="S115" s="203"/>
      <c r="T115" s="203"/>
      <c r="U115" s="203"/>
      <c r="V115" s="38"/>
      <c r="W115" s="38"/>
      <c r="X115" s="38"/>
      <c r="Y115" s="38"/>
      <c r="Z115" s="38"/>
      <c r="AA115" s="38"/>
      <c r="AB115" s="38"/>
      <c r="AC115" s="38"/>
      <c r="AD115" s="38"/>
      <c r="AE115" s="38"/>
      <c r="AF115" s="38"/>
      <c r="AG115" s="38"/>
      <c r="AH115" s="38"/>
      <c r="AI115" s="38"/>
      <c r="AJ115" s="38"/>
      <c r="AK115" s="48"/>
      <c r="AL115" s="38"/>
      <c r="AM115" s="38"/>
      <c r="AN115" s="38"/>
      <c r="AO115" s="38"/>
      <c r="AP115" s="38"/>
      <c r="AQ115" s="38"/>
      <c r="AR115" s="38"/>
      <c r="AS115" s="38"/>
      <c r="AT115" s="38"/>
      <c r="AU115" s="48"/>
    </row>
    <row r="116" ht="15.75" customHeight="1">
      <c r="A116" s="47"/>
      <c r="B116" s="38">
        <v>5.0</v>
      </c>
      <c r="C116" s="48"/>
      <c r="D116" s="38"/>
      <c r="E116" s="48"/>
      <c r="F116" s="38"/>
      <c r="G116" s="38"/>
      <c r="H116" s="38"/>
      <c r="I116" s="38"/>
      <c r="J116" s="38"/>
      <c r="K116" s="38"/>
      <c r="L116" s="38"/>
      <c r="M116" s="38"/>
      <c r="N116" s="38"/>
      <c r="O116" s="38"/>
      <c r="P116" s="38"/>
      <c r="Q116" s="38"/>
      <c r="R116" s="203"/>
      <c r="S116" s="203"/>
      <c r="T116" s="203"/>
      <c r="U116" s="203"/>
      <c r="V116" s="38"/>
      <c r="W116" s="38"/>
      <c r="X116" s="38"/>
      <c r="Y116" s="38"/>
      <c r="Z116" s="38"/>
      <c r="AA116" s="38"/>
      <c r="AB116" s="38"/>
      <c r="AC116" s="38"/>
      <c r="AD116" s="38"/>
      <c r="AE116" s="38"/>
      <c r="AF116" s="38"/>
      <c r="AG116" s="38"/>
      <c r="AH116" s="38"/>
      <c r="AI116" s="38"/>
      <c r="AJ116" s="38"/>
      <c r="AK116" s="48"/>
      <c r="AL116" s="38"/>
      <c r="AM116" s="38"/>
      <c r="AN116" s="38"/>
      <c r="AO116" s="38"/>
      <c r="AP116" s="38"/>
      <c r="AQ116" s="38"/>
      <c r="AR116" s="38"/>
      <c r="AS116" s="38"/>
      <c r="AT116" s="38"/>
      <c r="AU116" s="48"/>
    </row>
    <row r="117" ht="15.75" customHeight="1">
      <c r="A117" s="33"/>
      <c r="B117" s="38">
        <v>6.0</v>
      </c>
      <c r="C117" s="48"/>
      <c r="D117" s="38"/>
      <c r="E117" s="48"/>
      <c r="F117" s="38"/>
      <c r="G117" s="38"/>
      <c r="H117" s="38"/>
      <c r="I117" s="38"/>
      <c r="J117" s="38"/>
      <c r="K117" s="38"/>
      <c r="L117" s="38"/>
      <c r="M117" s="38"/>
      <c r="N117" s="38"/>
      <c r="O117" s="38"/>
      <c r="P117" s="38"/>
      <c r="Q117" s="38"/>
      <c r="R117" s="203"/>
      <c r="S117" s="203"/>
      <c r="T117" s="203"/>
      <c r="U117" s="203"/>
      <c r="V117" s="38"/>
      <c r="W117" s="38"/>
      <c r="X117" s="38"/>
      <c r="Y117" s="38"/>
      <c r="Z117" s="38"/>
      <c r="AA117" s="38"/>
      <c r="AB117" s="38"/>
      <c r="AC117" s="38"/>
      <c r="AD117" s="38"/>
      <c r="AE117" s="38"/>
      <c r="AF117" s="38"/>
      <c r="AG117" s="38"/>
      <c r="AH117" s="38"/>
      <c r="AI117" s="38"/>
      <c r="AJ117" s="38"/>
      <c r="AK117" s="48"/>
      <c r="AL117" s="38"/>
      <c r="AM117" s="38"/>
      <c r="AN117" s="38"/>
      <c r="AO117" s="38"/>
      <c r="AP117" s="38"/>
      <c r="AQ117" s="38"/>
      <c r="AR117" s="38"/>
      <c r="AS117" s="38"/>
      <c r="AT117" s="38"/>
      <c r="AU117" s="48"/>
    </row>
    <row r="118" ht="15.75" customHeight="1">
      <c r="A118" s="33"/>
      <c r="B118" s="38">
        <v>7.0</v>
      </c>
      <c r="C118" s="48"/>
      <c r="D118" s="38"/>
      <c r="E118" s="48"/>
      <c r="F118" s="38"/>
      <c r="G118" s="38"/>
      <c r="H118" s="38"/>
      <c r="I118" s="38"/>
      <c r="J118" s="38"/>
      <c r="K118" s="38"/>
      <c r="L118" s="38"/>
      <c r="M118" s="38"/>
      <c r="N118" s="38"/>
      <c r="O118" s="38"/>
      <c r="P118" s="38"/>
      <c r="Q118" s="38"/>
      <c r="R118" s="203"/>
      <c r="S118" s="203"/>
      <c r="T118" s="203"/>
      <c r="U118" s="203"/>
      <c r="V118" s="38"/>
      <c r="W118" s="38"/>
      <c r="X118" s="38"/>
      <c r="Y118" s="38"/>
      <c r="Z118" s="38"/>
      <c r="AA118" s="38"/>
      <c r="AB118" s="38"/>
      <c r="AC118" s="38"/>
      <c r="AD118" s="38"/>
      <c r="AE118" s="38"/>
      <c r="AF118" s="38"/>
      <c r="AG118" s="38"/>
      <c r="AH118" s="38"/>
      <c r="AI118" s="38"/>
      <c r="AJ118" s="38"/>
      <c r="AK118" s="48"/>
      <c r="AL118" s="38"/>
      <c r="AM118" s="38"/>
      <c r="AN118" s="38"/>
      <c r="AO118" s="38"/>
      <c r="AP118" s="38"/>
      <c r="AQ118" s="38"/>
      <c r="AR118" s="38"/>
      <c r="AS118" s="38"/>
      <c r="AT118" s="38"/>
      <c r="AU118" s="48"/>
    </row>
    <row r="119" ht="15.75" customHeight="1">
      <c r="A119" s="33"/>
      <c r="B119" s="38"/>
      <c r="C119" s="48"/>
      <c r="D119" s="38"/>
      <c r="E119" s="48"/>
      <c r="F119" s="38"/>
      <c r="G119" s="38"/>
      <c r="H119" s="38"/>
      <c r="I119" s="38"/>
      <c r="J119" s="38"/>
      <c r="K119" s="38"/>
      <c r="L119" s="38"/>
      <c r="M119" s="38"/>
      <c r="N119" s="38"/>
      <c r="O119" s="38"/>
      <c r="P119" s="38"/>
      <c r="Q119" s="38"/>
      <c r="R119" s="203"/>
      <c r="S119" s="203"/>
      <c r="T119" s="203"/>
      <c r="U119" s="203"/>
      <c r="V119" s="38"/>
      <c r="W119" s="38"/>
      <c r="X119" s="38"/>
      <c r="Y119" s="38"/>
      <c r="Z119" s="38"/>
      <c r="AA119" s="38"/>
      <c r="AB119" s="38"/>
      <c r="AC119" s="38"/>
      <c r="AD119" s="38"/>
      <c r="AE119" s="38"/>
      <c r="AF119" s="38"/>
      <c r="AG119" s="38"/>
      <c r="AH119" s="38"/>
      <c r="AI119" s="38"/>
      <c r="AJ119" s="38"/>
      <c r="AK119" s="48"/>
      <c r="AL119" s="38"/>
      <c r="AM119" s="38"/>
      <c r="AN119" s="38"/>
      <c r="AO119" s="38"/>
      <c r="AP119" s="38"/>
      <c r="AQ119" s="38"/>
      <c r="AR119" s="38"/>
      <c r="AS119" s="38"/>
      <c r="AT119" s="38"/>
      <c r="AU119" s="48"/>
    </row>
    <row r="120" ht="15.75" customHeight="1">
      <c r="A120" s="170" t="s">
        <v>2117</v>
      </c>
      <c r="B120" s="38">
        <v>1.0</v>
      </c>
      <c r="C120" s="48"/>
      <c r="D120" s="173" t="s">
        <v>305</v>
      </c>
      <c r="E120" s="173"/>
      <c r="F120" s="299" t="s">
        <v>1989</v>
      </c>
      <c r="G120" s="180"/>
      <c r="H120" s="180"/>
      <c r="I120" s="180"/>
      <c r="M120" s="299" t="s">
        <v>1990</v>
      </c>
      <c r="N120" s="180"/>
      <c r="O120" s="180"/>
      <c r="P120" s="300"/>
      <c r="Q120" s="300"/>
      <c r="R120" s="203"/>
      <c r="S120" s="203"/>
      <c r="T120" s="203"/>
      <c r="U120" s="203"/>
      <c r="V120" s="299" t="s">
        <v>1991</v>
      </c>
      <c r="W120" s="180"/>
      <c r="X120" s="180"/>
      <c r="Y120" s="180"/>
      <c r="AC120" s="299" t="s">
        <v>1992</v>
      </c>
      <c r="AD120" s="180"/>
      <c r="AE120" s="180"/>
      <c r="AF120" s="180"/>
      <c r="AJ120" s="250"/>
      <c r="AK120" s="48"/>
      <c r="AL120" s="38"/>
      <c r="AM120" s="38"/>
      <c r="AN120" s="38"/>
      <c r="AO120" s="38"/>
      <c r="AP120" s="38"/>
      <c r="AQ120" s="38"/>
      <c r="AR120" s="38"/>
      <c r="AS120" s="38"/>
      <c r="AT120" s="38"/>
      <c r="AU120" s="48"/>
    </row>
    <row r="121" ht="15.75" customHeight="1">
      <c r="A121" s="216" t="s">
        <v>2160</v>
      </c>
      <c r="B121" s="38">
        <v>2.0</v>
      </c>
      <c r="C121" s="48"/>
      <c r="D121" s="38"/>
      <c r="E121" s="48"/>
      <c r="F121" s="7" t="s">
        <v>1995</v>
      </c>
      <c r="J121" s="294" t="s">
        <v>1989</v>
      </c>
      <c r="K121" s="177"/>
      <c r="L121" s="177"/>
      <c r="M121" s="7" t="s">
        <v>1996</v>
      </c>
      <c r="P121" s="294" t="s">
        <v>1997</v>
      </c>
      <c r="Q121" s="177"/>
      <c r="R121" s="203"/>
      <c r="S121" s="203"/>
      <c r="T121" s="203"/>
      <c r="U121" s="203"/>
      <c r="V121" s="7" t="s">
        <v>1998</v>
      </c>
      <c r="Z121" s="294" t="s">
        <v>1999</v>
      </c>
      <c r="AA121" s="177"/>
      <c r="AB121" s="177"/>
      <c r="AC121" s="7" t="s">
        <v>2000</v>
      </c>
      <c r="AG121" s="294" t="s">
        <v>2001</v>
      </c>
      <c r="AH121" s="177"/>
      <c r="AI121" s="177"/>
      <c r="AJ121" s="112"/>
      <c r="AK121" s="309"/>
      <c r="AL121" s="38"/>
      <c r="AM121" s="38"/>
      <c r="AN121" s="38"/>
      <c r="AO121" s="38"/>
      <c r="AP121" s="38"/>
      <c r="AQ121" s="38"/>
      <c r="AR121" s="38"/>
      <c r="AS121" s="38"/>
      <c r="AT121" s="38"/>
      <c r="AU121" s="48"/>
    </row>
    <row r="122" ht="15.75" customHeight="1">
      <c r="A122" s="216" t="s">
        <v>2161</v>
      </c>
      <c r="B122" s="38">
        <v>3.0</v>
      </c>
      <c r="C122" s="48"/>
      <c r="D122" s="38"/>
      <c r="E122" s="48"/>
      <c r="K122" s="14"/>
      <c r="Q122" s="14"/>
      <c r="R122" s="203"/>
      <c r="S122" s="203"/>
      <c r="T122" s="203"/>
      <c r="U122" s="203"/>
      <c r="Z122" s="14"/>
      <c r="AE122" s="14"/>
      <c r="AJ122" s="14"/>
      <c r="AK122" s="48"/>
      <c r="AL122" s="38"/>
      <c r="AM122" s="38"/>
      <c r="AN122" s="38"/>
      <c r="AO122" s="38"/>
      <c r="AP122" s="38"/>
      <c r="AQ122" s="38"/>
      <c r="AR122" s="38"/>
      <c r="AS122" s="38"/>
      <c r="AT122" s="38"/>
      <c r="AU122" s="48"/>
    </row>
    <row r="123" ht="15.75" customHeight="1">
      <c r="A123" s="33"/>
      <c r="B123" s="38">
        <v>4.0</v>
      </c>
      <c r="C123" s="48"/>
      <c r="D123" s="38"/>
      <c r="E123" s="48"/>
      <c r="F123" s="38"/>
      <c r="G123" s="38"/>
      <c r="H123" s="38"/>
      <c r="I123" s="38"/>
      <c r="J123" s="38"/>
      <c r="M123" s="38"/>
      <c r="N123" s="38"/>
      <c r="O123" s="38"/>
      <c r="P123" s="38"/>
      <c r="Q123" s="38"/>
      <c r="R123" s="203"/>
      <c r="S123" s="203"/>
      <c r="T123" s="203"/>
      <c r="U123" s="203"/>
      <c r="V123" s="38"/>
      <c r="W123" s="38"/>
      <c r="X123" s="38"/>
      <c r="Y123" s="38"/>
      <c r="Z123" s="38"/>
      <c r="AC123" s="38"/>
      <c r="AD123" s="38"/>
      <c r="AE123" s="38"/>
      <c r="AF123" s="38"/>
      <c r="AG123" s="38"/>
      <c r="AH123" s="38"/>
      <c r="AI123" s="38"/>
      <c r="AJ123" s="38"/>
      <c r="AK123" s="48"/>
      <c r="AL123" s="38"/>
      <c r="AM123" s="38"/>
      <c r="AN123" s="38"/>
      <c r="AO123" s="38"/>
      <c r="AP123" s="38"/>
      <c r="AQ123" s="38"/>
      <c r="AR123" s="38"/>
      <c r="AS123" s="38"/>
      <c r="AT123" s="38"/>
      <c r="AU123" s="48"/>
    </row>
    <row r="124" ht="15.75" customHeight="1">
      <c r="B124" s="38">
        <v>5.0</v>
      </c>
      <c r="C124" s="48"/>
      <c r="D124" s="38"/>
      <c r="E124" s="48"/>
      <c r="F124" s="38"/>
      <c r="G124" s="38"/>
      <c r="H124" s="38"/>
      <c r="I124" s="38"/>
      <c r="J124" s="38"/>
      <c r="K124" s="38"/>
      <c r="L124" s="38"/>
      <c r="M124" s="38"/>
      <c r="N124" s="38"/>
      <c r="O124" s="38"/>
      <c r="P124" s="38"/>
      <c r="Q124" s="38"/>
      <c r="R124" s="203"/>
      <c r="S124" s="203"/>
      <c r="T124" s="203"/>
      <c r="U124" s="203"/>
      <c r="V124" s="38"/>
      <c r="W124" s="38"/>
      <c r="X124" s="38"/>
      <c r="Y124" s="38"/>
      <c r="Z124" s="38"/>
      <c r="AA124" s="38"/>
      <c r="AB124" s="38"/>
      <c r="AC124" s="38"/>
      <c r="AD124" s="38"/>
      <c r="AE124" s="38"/>
      <c r="AF124" s="38"/>
      <c r="AG124" s="38"/>
      <c r="AH124" s="38"/>
      <c r="AI124" s="38"/>
      <c r="AJ124" s="38"/>
      <c r="AK124" s="48"/>
      <c r="AL124" s="38"/>
      <c r="AM124" s="38"/>
      <c r="AN124" s="38"/>
      <c r="AO124" s="38"/>
      <c r="AP124" s="38"/>
      <c r="AQ124" s="38"/>
      <c r="AR124" s="38"/>
      <c r="AS124" s="38"/>
      <c r="AT124" s="38"/>
      <c r="AU124" s="48"/>
    </row>
    <row r="125" ht="15.75" customHeight="1">
      <c r="B125" s="38"/>
      <c r="C125" s="48"/>
      <c r="D125" s="38"/>
      <c r="E125" s="48"/>
      <c r="F125" s="38"/>
      <c r="G125" s="38"/>
      <c r="H125" s="38"/>
      <c r="I125" s="38"/>
      <c r="J125" s="38"/>
      <c r="K125" s="38"/>
      <c r="L125" s="38"/>
      <c r="M125" s="38"/>
      <c r="N125" s="38"/>
      <c r="O125" s="38"/>
      <c r="P125" s="38"/>
      <c r="Q125" s="38"/>
      <c r="R125" s="203"/>
      <c r="S125" s="203"/>
      <c r="T125" s="203"/>
      <c r="U125" s="203"/>
      <c r="V125" s="38"/>
      <c r="W125" s="38"/>
      <c r="X125" s="38"/>
      <c r="Y125" s="38"/>
      <c r="Z125" s="38"/>
      <c r="AA125" s="38"/>
      <c r="AB125" s="38"/>
      <c r="AC125" s="38"/>
      <c r="AD125" s="38"/>
      <c r="AE125" s="38"/>
      <c r="AF125" s="38"/>
      <c r="AG125" s="38"/>
      <c r="AH125" s="38"/>
      <c r="AI125" s="38"/>
      <c r="AJ125" s="38"/>
      <c r="AK125" s="48"/>
      <c r="AL125" s="38"/>
      <c r="AM125" s="38"/>
      <c r="AN125" s="38"/>
      <c r="AO125" s="38"/>
      <c r="AP125" s="38"/>
      <c r="AQ125" s="38"/>
      <c r="AR125" s="38"/>
      <c r="AS125" s="38"/>
      <c r="AT125" s="38"/>
      <c r="AU125" s="48"/>
    </row>
    <row r="126" ht="15.75" customHeight="1">
      <c r="A126" s="170" t="s">
        <v>2123</v>
      </c>
      <c r="B126" s="38">
        <v>1.0</v>
      </c>
      <c r="C126" s="48"/>
      <c r="D126" s="173" t="s">
        <v>305</v>
      </c>
      <c r="E126" s="173"/>
      <c r="F126" s="299" t="s">
        <v>2015</v>
      </c>
      <c r="G126" s="180"/>
      <c r="H126" s="180"/>
      <c r="I126" s="180"/>
      <c r="M126" s="299" t="s">
        <v>2016</v>
      </c>
      <c r="N126" s="180"/>
      <c r="O126" s="180"/>
      <c r="P126" s="180"/>
      <c r="R126" s="203"/>
      <c r="S126" s="203"/>
      <c r="T126" s="203"/>
      <c r="U126" s="203"/>
      <c r="V126" s="299" t="s">
        <v>2017</v>
      </c>
      <c r="W126" s="180"/>
      <c r="X126" s="180"/>
      <c r="Y126" s="180"/>
      <c r="AC126" s="299" t="s">
        <v>2019</v>
      </c>
      <c r="AD126" s="180"/>
      <c r="AG126" s="299" t="s">
        <v>2020</v>
      </c>
      <c r="AH126" s="180"/>
      <c r="AJ126" s="299" t="s">
        <v>2021</v>
      </c>
      <c r="AK126" s="180"/>
      <c r="AL126" s="38"/>
      <c r="AM126" s="38"/>
      <c r="AN126" s="38"/>
      <c r="AO126" s="38"/>
      <c r="AP126" s="38"/>
      <c r="AQ126" s="38"/>
      <c r="AR126" s="38"/>
      <c r="AS126" s="38"/>
      <c r="AT126" s="38"/>
      <c r="AU126" s="48"/>
    </row>
    <row r="127" ht="15.75" customHeight="1">
      <c r="A127" s="216" t="s">
        <v>2162</v>
      </c>
      <c r="B127" s="38">
        <v>2.0</v>
      </c>
      <c r="C127" s="48"/>
      <c r="D127" s="38"/>
      <c r="E127" s="48"/>
      <c r="F127" s="7" t="s">
        <v>2027</v>
      </c>
      <c r="J127" s="294" t="s">
        <v>2015</v>
      </c>
      <c r="K127" s="177"/>
      <c r="L127" s="177"/>
      <c r="M127" s="7" t="s">
        <v>2028</v>
      </c>
      <c r="Q127" s="294" t="s">
        <v>2016</v>
      </c>
      <c r="R127" s="203"/>
      <c r="S127" s="203"/>
      <c r="T127" s="203"/>
      <c r="U127" s="203"/>
      <c r="V127" s="7" t="s">
        <v>2030</v>
      </c>
      <c r="Z127" s="294" t="s">
        <v>2017</v>
      </c>
      <c r="AA127" s="177"/>
      <c r="AB127" s="177"/>
      <c r="AC127" s="7" t="s">
        <v>1566</v>
      </c>
      <c r="AE127" s="294" t="s">
        <v>2019</v>
      </c>
      <c r="AF127" s="177"/>
      <c r="AI127" s="297" t="s">
        <v>2020</v>
      </c>
      <c r="AJ127" s="7" t="s">
        <v>1996</v>
      </c>
      <c r="AL127" s="38"/>
      <c r="AM127" s="38"/>
      <c r="AN127" s="38"/>
      <c r="AO127" s="38"/>
      <c r="AP127" s="38"/>
      <c r="AQ127" s="38"/>
      <c r="AR127" s="38"/>
      <c r="AS127" s="38"/>
      <c r="AT127" s="38"/>
      <c r="AU127" s="48"/>
    </row>
    <row r="128" ht="15.75" customHeight="1">
      <c r="A128" s="216" t="s">
        <v>2163</v>
      </c>
      <c r="B128" s="38">
        <v>3.0</v>
      </c>
      <c r="C128" s="48"/>
      <c r="D128" s="38"/>
      <c r="E128" s="48"/>
      <c r="F128" s="38"/>
      <c r="G128" s="38"/>
      <c r="H128" s="38"/>
      <c r="I128" s="38"/>
      <c r="J128" s="38"/>
      <c r="K128" s="38"/>
      <c r="L128" s="38"/>
      <c r="M128" s="38"/>
      <c r="N128" s="38"/>
      <c r="O128" s="38"/>
      <c r="P128" s="38"/>
      <c r="Q128" s="38"/>
      <c r="R128" s="203"/>
      <c r="S128" s="203"/>
      <c r="T128" s="203"/>
      <c r="U128" s="203"/>
      <c r="V128" s="38"/>
      <c r="W128" s="38"/>
      <c r="AB128" s="38"/>
      <c r="AC128" s="38"/>
      <c r="AF128" s="38"/>
      <c r="AG128" s="38"/>
      <c r="AJ128" s="38"/>
      <c r="AK128" s="48"/>
      <c r="AL128" s="38"/>
      <c r="AM128" s="38"/>
      <c r="AN128" s="38"/>
      <c r="AO128" s="38"/>
      <c r="AP128" s="38"/>
      <c r="AQ128" s="38"/>
      <c r="AR128" s="38"/>
      <c r="AS128" s="38"/>
      <c r="AT128" s="38"/>
      <c r="AU128" s="48"/>
    </row>
    <row r="129" ht="15.75" customHeight="1">
      <c r="A129" s="216" t="s">
        <v>1588</v>
      </c>
      <c r="B129" s="38">
        <v>4.0</v>
      </c>
      <c r="C129" s="48"/>
      <c r="D129" s="38"/>
      <c r="E129" s="48"/>
      <c r="F129" s="38"/>
      <c r="G129" s="38"/>
      <c r="H129" s="38"/>
      <c r="I129" s="38"/>
      <c r="J129" s="38"/>
      <c r="K129" s="38"/>
      <c r="L129" s="38"/>
      <c r="M129" s="38"/>
      <c r="N129" s="38"/>
      <c r="O129" s="38"/>
      <c r="P129" s="38"/>
      <c r="Q129" s="38"/>
      <c r="R129" s="203"/>
      <c r="S129" s="203"/>
      <c r="T129" s="203"/>
      <c r="U129" s="203"/>
      <c r="V129" s="38"/>
      <c r="W129" s="38"/>
      <c r="AD129" s="38"/>
      <c r="AE129" s="38"/>
      <c r="AH129" s="38"/>
      <c r="AI129" s="38"/>
      <c r="AJ129" s="38"/>
      <c r="AK129" s="48"/>
      <c r="AL129" s="38"/>
      <c r="AM129" s="38"/>
      <c r="AN129" s="38"/>
      <c r="AO129" s="38"/>
      <c r="AP129" s="38"/>
      <c r="AQ129" s="38"/>
      <c r="AR129" s="38"/>
      <c r="AS129" s="38"/>
      <c r="AT129" s="38"/>
      <c r="AU129" s="48"/>
    </row>
    <row r="130" ht="15.75" customHeight="1">
      <c r="A130" s="33"/>
      <c r="B130" s="38">
        <v>5.0</v>
      </c>
      <c r="C130" s="48"/>
      <c r="D130" s="38"/>
      <c r="E130" s="48"/>
      <c r="F130" s="38"/>
      <c r="G130" s="38"/>
      <c r="H130" s="38"/>
      <c r="I130" s="38"/>
      <c r="J130" s="38"/>
      <c r="K130" s="38"/>
      <c r="L130" s="38"/>
      <c r="M130" s="38"/>
      <c r="N130" s="38"/>
      <c r="O130" s="38"/>
      <c r="P130" s="38"/>
      <c r="Q130" s="38"/>
      <c r="R130" s="203"/>
      <c r="S130" s="203"/>
      <c r="T130" s="203"/>
      <c r="U130" s="203"/>
      <c r="V130" s="38"/>
      <c r="W130" s="38"/>
      <c r="X130" s="38"/>
      <c r="Y130" s="38"/>
      <c r="Z130" s="38"/>
      <c r="AA130" s="38"/>
      <c r="AB130" s="38"/>
      <c r="AC130" s="38"/>
      <c r="AD130" s="38"/>
      <c r="AE130" s="38"/>
      <c r="AF130" s="38"/>
      <c r="AG130" s="38"/>
      <c r="AH130" s="38"/>
      <c r="AI130" s="38"/>
      <c r="AJ130" s="38"/>
      <c r="AK130" s="48"/>
      <c r="AL130" s="38"/>
      <c r="AM130" s="38"/>
      <c r="AN130" s="38"/>
      <c r="AO130" s="38"/>
      <c r="AP130" s="38"/>
      <c r="AQ130" s="38"/>
      <c r="AR130" s="38"/>
      <c r="AS130" s="38"/>
      <c r="AT130" s="38"/>
      <c r="AU130" s="48"/>
    </row>
    <row r="131" ht="15.75" customHeight="1">
      <c r="A131" s="33"/>
      <c r="B131" s="38"/>
      <c r="C131" s="48"/>
      <c r="D131" s="38"/>
      <c r="E131" s="48"/>
      <c r="F131" s="38"/>
      <c r="G131" s="38"/>
      <c r="H131" s="38"/>
      <c r="I131" s="38"/>
      <c r="J131" s="38"/>
      <c r="K131" s="38"/>
      <c r="L131" s="38"/>
      <c r="M131" s="38"/>
      <c r="N131" s="38"/>
      <c r="O131" s="38"/>
      <c r="P131" s="38"/>
      <c r="Q131" s="38"/>
      <c r="R131" s="203"/>
      <c r="S131" s="203"/>
      <c r="T131" s="203"/>
      <c r="U131" s="203"/>
      <c r="V131" s="38"/>
      <c r="W131" s="38"/>
      <c r="X131" s="38"/>
      <c r="Y131" s="38"/>
      <c r="Z131" s="38"/>
      <c r="AA131" s="38"/>
      <c r="AB131" s="38"/>
      <c r="AC131" s="38"/>
      <c r="AD131" s="38"/>
      <c r="AE131" s="38"/>
      <c r="AF131" s="38"/>
      <c r="AG131" s="38"/>
      <c r="AH131" s="38"/>
      <c r="AI131" s="38"/>
      <c r="AJ131" s="38"/>
      <c r="AK131" s="48"/>
      <c r="AL131" s="38"/>
      <c r="AM131" s="38"/>
      <c r="AN131" s="38"/>
      <c r="AO131" s="38"/>
      <c r="AP131" s="38"/>
      <c r="AQ131" s="38"/>
      <c r="AR131" s="38"/>
      <c r="AS131" s="38"/>
      <c r="AT131" s="38"/>
      <c r="AU131" s="48"/>
    </row>
    <row r="132" ht="15.75" customHeight="1">
      <c r="F132" s="38"/>
      <c r="G132" s="38"/>
      <c r="H132" s="38"/>
      <c r="I132" s="38"/>
      <c r="J132" s="38"/>
      <c r="K132" s="38"/>
      <c r="L132" s="38"/>
      <c r="M132" s="38"/>
      <c r="N132" s="38"/>
      <c r="O132" s="38"/>
      <c r="P132" s="38"/>
      <c r="Q132" s="38"/>
      <c r="R132" s="203"/>
      <c r="S132" s="203"/>
      <c r="T132" s="203"/>
      <c r="U132" s="203"/>
      <c r="V132" s="38"/>
      <c r="W132" s="38"/>
      <c r="X132" s="38"/>
      <c r="Y132" s="38"/>
      <c r="Z132" s="38"/>
      <c r="AA132" s="38"/>
      <c r="AB132" s="38"/>
      <c r="AC132" s="38"/>
      <c r="AD132" s="38"/>
      <c r="AE132" s="38"/>
      <c r="AF132" s="38"/>
      <c r="AG132" s="38"/>
      <c r="AH132" s="38"/>
      <c r="AI132" s="38"/>
      <c r="AJ132" s="38"/>
      <c r="AK132" s="48"/>
      <c r="AL132" s="38"/>
      <c r="AM132" s="38"/>
      <c r="AN132" s="38"/>
      <c r="AO132" s="38"/>
      <c r="AP132" s="38"/>
      <c r="AQ132" s="38"/>
      <c r="AR132" s="38"/>
      <c r="AS132" s="38"/>
      <c r="AT132" s="38"/>
      <c r="AU132" s="48"/>
    </row>
    <row r="133" ht="15.75" customHeight="1">
      <c r="A133" s="170" t="s">
        <v>2164</v>
      </c>
      <c r="B133" s="38">
        <v>1.0</v>
      </c>
      <c r="C133" s="48"/>
      <c r="D133" s="173" t="s">
        <v>305</v>
      </c>
      <c r="E133" s="173"/>
      <c r="F133" s="299" t="s">
        <v>2047</v>
      </c>
      <c r="G133" s="180"/>
      <c r="H133" s="180"/>
      <c r="I133" s="180"/>
      <c r="M133" s="299" t="s">
        <v>2048</v>
      </c>
      <c r="N133" s="180"/>
      <c r="O133" s="180"/>
      <c r="P133" s="300"/>
      <c r="Q133" s="300"/>
      <c r="R133" s="203"/>
      <c r="S133" s="203"/>
      <c r="T133" s="203"/>
      <c r="U133" s="203"/>
      <c r="V133" s="299" t="s">
        <v>2050</v>
      </c>
      <c r="W133" s="180"/>
      <c r="X133" s="180"/>
      <c r="Y133" s="180"/>
      <c r="AC133" s="299" t="s">
        <v>2051</v>
      </c>
      <c r="AD133" s="180"/>
      <c r="AE133" s="180"/>
      <c r="AF133" s="180"/>
      <c r="AJ133" s="250"/>
      <c r="AK133" s="48"/>
      <c r="AL133" s="38"/>
      <c r="AM133" s="38"/>
      <c r="AN133" s="38"/>
      <c r="AO133" s="38"/>
      <c r="AP133" s="38"/>
      <c r="AQ133" s="38"/>
      <c r="AR133" s="38"/>
      <c r="AS133" s="38"/>
      <c r="AT133" s="38"/>
      <c r="AU133" s="48"/>
    </row>
    <row r="134" ht="15.75" customHeight="1">
      <c r="A134" s="216" t="s">
        <v>2165</v>
      </c>
      <c r="B134" s="38">
        <v>2.0</v>
      </c>
      <c r="C134" s="48"/>
      <c r="D134" s="38"/>
      <c r="E134" s="48"/>
      <c r="F134" s="7" t="s">
        <v>1257</v>
      </c>
      <c r="J134" s="294" t="s">
        <v>2047</v>
      </c>
      <c r="K134" s="177"/>
      <c r="L134" s="177"/>
      <c r="M134" s="7" t="s">
        <v>1258</v>
      </c>
      <c r="P134" s="294" t="s">
        <v>2048</v>
      </c>
      <c r="Q134" s="177"/>
      <c r="R134" s="203"/>
      <c r="S134" s="203"/>
      <c r="T134" s="203"/>
      <c r="U134" s="203"/>
      <c r="V134" s="7" t="s">
        <v>1440</v>
      </c>
      <c r="Z134" s="294" t="s">
        <v>2050</v>
      </c>
      <c r="AA134" s="177"/>
      <c r="AB134" s="177"/>
      <c r="AC134" s="7" t="s">
        <v>1443</v>
      </c>
      <c r="AG134" s="294" t="s">
        <v>2051</v>
      </c>
      <c r="AH134" s="177"/>
      <c r="AI134" s="177"/>
      <c r="AJ134" s="112"/>
      <c r="AK134" s="309"/>
      <c r="AL134" s="38"/>
      <c r="AM134" s="38"/>
      <c r="AN134" s="38"/>
      <c r="AO134" s="38"/>
      <c r="AP134" s="38"/>
      <c r="AQ134" s="38"/>
      <c r="AR134" s="38"/>
      <c r="AS134" s="38"/>
      <c r="AT134" s="38"/>
      <c r="AU134" s="48"/>
    </row>
    <row r="135" ht="15.75" customHeight="1">
      <c r="A135" s="216" t="s">
        <v>2166</v>
      </c>
      <c r="B135" s="38">
        <v>3.0</v>
      </c>
      <c r="C135" s="48"/>
      <c r="D135" s="38"/>
      <c r="E135" s="48"/>
      <c r="F135" s="38"/>
      <c r="G135" s="38"/>
      <c r="H135" s="38"/>
      <c r="K135" s="38"/>
      <c r="L135" s="38"/>
      <c r="O135" s="38"/>
      <c r="P135" s="38"/>
      <c r="Q135" s="38"/>
      <c r="R135" s="203"/>
      <c r="S135" s="203"/>
      <c r="T135" s="203"/>
      <c r="U135" s="203"/>
      <c r="X135" s="38"/>
      <c r="Y135" s="38"/>
      <c r="AC135" s="38"/>
      <c r="AD135" s="38"/>
      <c r="AI135" s="38"/>
      <c r="AJ135" s="38"/>
      <c r="AL135" s="38"/>
      <c r="AM135" s="38"/>
      <c r="AN135" s="38"/>
      <c r="AO135" s="38"/>
      <c r="AP135" s="38"/>
      <c r="AQ135" s="38"/>
      <c r="AR135" s="38"/>
      <c r="AS135" s="38"/>
      <c r="AT135" s="38"/>
      <c r="AU135" s="48"/>
    </row>
    <row r="136" ht="15.75" customHeight="1">
      <c r="B136" s="38">
        <v>4.0</v>
      </c>
      <c r="C136" s="48"/>
      <c r="D136" s="38"/>
      <c r="E136" s="48"/>
      <c r="F136" s="43" t="s">
        <v>2167</v>
      </c>
      <c r="G136" s="38"/>
      <c r="H136" s="38"/>
      <c r="I136" s="38"/>
      <c r="J136" s="38"/>
      <c r="K136" s="38"/>
      <c r="L136" s="38"/>
      <c r="M136" s="38"/>
      <c r="N136" s="38"/>
      <c r="O136" s="38"/>
      <c r="P136" s="38"/>
      <c r="Q136" s="38"/>
      <c r="R136" s="203"/>
      <c r="S136" s="203"/>
      <c r="T136" s="203"/>
      <c r="U136" s="203"/>
      <c r="V136" s="38"/>
      <c r="W136" s="38"/>
      <c r="X136" s="38"/>
      <c r="Y136" s="38"/>
      <c r="Z136" s="38"/>
      <c r="AA136" s="38"/>
      <c r="AB136" s="38"/>
      <c r="AC136" s="38"/>
      <c r="AD136" s="38"/>
      <c r="AE136" s="38"/>
      <c r="AF136" s="38"/>
      <c r="AG136" s="38"/>
      <c r="AH136" s="38"/>
      <c r="AI136" s="38"/>
      <c r="AJ136" s="38"/>
      <c r="AK136" s="48"/>
      <c r="AL136" s="38"/>
      <c r="AM136" s="38"/>
      <c r="AN136" s="38"/>
      <c r="AO136" s="38"/>
      <c r="AP136" s="38"/>
      <c r="AQ136" s="38"/>
      <c r="AR136" s="38"/>
      <c r="AS136" s="38"/>
      <c r="AT136" s="38"/>
      <c r="AU136" s="48"/>
    </row>
    <row r="137" ht="15.75" customHeight="1">
      <c r="A137" s="33"/>
      <c r="B137" s="38">
        <v>5.0</v>
      </c>
      <c r="C137" s="48"/>
      <c r="D137" s="38"/>
      <c r="E137" s="48"/>
      <c r="F137" s="38"/>
      <c r="G137" s="38"/>
      <c r="H137" s="38"/>
      <c r="I137" s="38"/>
      <c r="J137" s="38"/>
      <c r="K137" s="38"/>
      <c r="L137" s="38"/>
      <c r="M137" s="38"/>
      <c r="N137" s="38"/>
      <c r="O137" s="38"/>
      <c r="P137" s="38"/>
      <c r="Q137" s="38"/>
      <c r="R137" s="203"/>
      <c r="S137" s="203"/>
      <c r="T137" s="203"/>
      <c r="U137" s="203"/>
      <c r="V137" s="38"/>
      <c r="W137" s="38"/>
      <c r="X137" s="38"/>
      <c r="Y137" s="38"/>
      <c r="Z137" s="38"/>
      <c r="AA137" s="38"/>
      <c r="AB137" s="38"/>
      <c r="AC137" s="38"/>
      <c r="AD137" s="38"/>
      <c r="AE137" s="38"/>
      <c r="AF137" s="38"/>
      <c r="AG137" s="38"/>
      <c r="AH137" s="38"/>
      <c r="AI137" s="38"/>
      <c r="AJ137" s="38"/>
      <c r="AK137" s="48"/>
      <c r="AL137" s="38"/>
      <c r="AM137" s="38"/>
      <c r="AN137" s="38"/>
      <c r="AO137" s="38"/>
      <c r="AP137" s="38"/>
      <c r="AQ137" s="38"/>
      <c r="AR137" s="38"/>
      <c r="AS137" s="38"/>
      <c r="AT137" s="38"/>
      <c r="AU137" s="48"/>
    </row>
    <row r="138" ht="15.75" customHeight="1">
      <c r="A138" s="33"/>
      <c r="B138" s="38">
        <v>6.0</v>
      </c>
      <c r="C138" s="48"/>
      <c r="D138" s="38"/>
      <c r="E138" s="48"/>
      <c r="F138" s="38"/>
      <c r="G138" s="38"/>
      <c r="H138" s="38"/>
      <c r="I138" s="38"/>
      <c r="J138" s="38"/>
      <c r="K138" s="38"/>
      <c r="L138" s="38"/>
      <c r="M138" s="38"/>
      <c r="N138" s="38"/>
      <c r="O138" s="38"/>
      <c r="P138" s="38"/>
      <c r="Q138" s="38"/>
      <c r="R138" s="203"/>
      <c r="S138" s="203"/>
      <c r="T138" s="203"/>
      <c r="U138" s="203"/>
      <c r="V138" s="38"/>
      <c r="W138" s="38"/>
      <c r="X138" s="38"/>
      <c r="Y138" s="38"/>
      <c r="Z138" s="38"/>
      <c r="AA138" s="38"/>
      <c r="AB138" s="38"/>
      <c r="AC138" s="38"/>
      <c r="AD138" s="38"/>
      <c r="AE138" s="38"/>
      <c r="AF138" s="38"/>
      <c r="AG138" s="38"/>
      <c r="AH138" s="38"/>
      <c r="AI138" s="38"/>
      <c r="AJ138" s="38"/>
      <c r="AK138" s="48"/>
      <c r="AL138" s="38"/>
      <c r="AM138" s="38"/>
      <c r="AN138" s="38"/>
      <c r="AO138" s="38"/>
      <c r="AP138" s="38"/>
      <c r="AQ138" s="38"/>
      <c r="AR138" s="38"/>
      <c r="AS138" s="38"/>
      <c r="AT138" s="38"/>
      <c r="AU138" s="48"/>
    </row>
    <row r="139" ht="15.75" customHeight="1">
      <c r="F139" s="38"/>
      <c r="G139" s="38"/>
      <c r="H139" s="38"/>
      <c r="I139" s="38"/>
      <c r="J139" s="38"/>
      <c r="K139" s="38"/>
      <c r="L139" s="38"/>
      <c r="M139" s="38"/>
      <c r="N139" s="38"/>
      <c r="O139" s="38"/>
      <c r="P139" s="38"/>
      <c r="Q139" s="38"/>
      <c r="R139" s="203"/>
      <c r="S139" s="203"/>
      <c r="T139" s="203"/>
      <c r="U139" s="203"/>
      <c r="V139" s="38"/>
      <c r="W139" s="38"/>
      <c r="X139" s="38"/>
      <c r="Y139" s="38"/>
      <c r="Z139" s="38"/>
      <c r="AA139" s="38"/>
      <c r="AB139" s="38"/>
      <c r="AC139" s="38"/>
      <c r="AD139" s="38"/>
      <c r="AE139" s="38"/>
      <c r="AF139" s="38"/>
      <c r="AG139" s="38"/>
      <c r="AH139" s="38"/>
      <c r="AI139" s="38"/>
      <c r="AJ139" s="38"/>
      <c r="AK139" s="48"/>
      <c r="AL139" s="38"/>
      <c r="AM139" s="38"/>
      <c r="AN139" s="38"/>
      <c r="AO139" s="38"/>
      <c r="AP139" s="38"/>
      <c r="AQ139" s="38"/>
      <c r="AR139" s="38"/>
      <c r="AS139" s="38"/>
      <c r="AT139" s="38"/>
      <c r="AU139" s="48"/>
    </row>
    <row r="140" ht="15.75" customHeight="1">
      <c r="A140" s="33"/>
      <c r="B140" s="38"/>
      <c r="C140" s="48"/>
      <c r="D140" s="38"/>
      <c r="E140" s="48"/>
      <c r="F140" s="38"/>
      <c r="G140" s="38"/>
      <c r="H140" s="38"/>
      <c r="I140" s="38"/>
      <c r="J140" s="38"/>
      <c r="K140" s="38"/>
      <c r="L140" s="38"/>
      <c r="M140" s="38"/>
      <c r="N140" s="38"/>
      <c r="O140" s="38"/>
      <c r="P140" s="38"/>
      <c r="Q140" s="38"/>
      <c r="R140" s="203"/>
      <c r="S140" s="203"/>
      <c r="T140" s="203"/>
      <c r="U140" s="203"/>
      <c r="V140" s="38"/>
      <c r="W140" s="38"/>
      <c r="X140" s="38"/>
      <c r="Y140" s="38"/>
      <c r="Z140" s="38"/>
      <c r="AA140" s="38"/>
      <c r="AB140" s="38"/>
      <c r="AC140" s="38"/>
      <c r="AD140" s="38"/>
      <c r="AE140" s="38"/>
      <c r="AF140" s="38"/>
      <c r="AG140" s="38"/>
      <c r="AH140" s="38"/>
      <c r="AI140" s="38"/>
      <c r="AJ140" s="38"/>
      <c r="AK140" s="48"/>
      <c r="AL140" s="38"/>
      <c r="AM140" s="38"/>
      <c r="AN140" s="38"/>
      <c r="AO140" s="38"/>
      <c r="AP140" s="38"/>
      <c r="AQ140" s="38"/>
      <c r="AR140" s="38"/>
      <c r="AS140" s="38"/>
      <c r="AT140" s="38"/>
      <c r="AU140" s="48"/>
    </row>
    <row r="141" ht="15.75" customHeight="1">
      <c r="A141" s="170" t="s">
        <v>2168</v>
      </c>
      <c r="B141" s="38">
        <v>1.0</v>
      </c>
      <c r="C141" s="48"/>
      <c r="D141" s="173" t="s">
        <v>305</v>
      </c>
      <c r="E141" s="173"/>
      <c r="F141" s="299" t="s">
        <v>2104</v>
      </c>
      <c r="G141" s="180"/>
      <c r="H141" s="180"/>
      <c r="I141" s="180"/>
      <c r="M141" s="299" t="s">
        <v>2106</v>
      </c>
      <c r="N141" s="180"/>
      <c r="O141" s="180"/>
      <c r="P141" s="300"/>
      <c r="Q141" s="300"/>
      <c r="R141" s="203"/>
      <c r="S141" s="203"/>
      <c r="T141" s="203"/>
      <c r="U141" s="203"/>
      <c r="V141" s="299" t="s">
        <v>2112</v>
      </c>
      <c r="W141" s="180"/>
      <c r="X141" s="180"/>
      <c r="Y141" s="180"/>
      <c r="AC141" s="299" t="s">
        <v>2107</v>
      </c>
      <c r="AD141" s="180"/>
      <c r="AE141" s="180"/>
      <c r="AF141" s="180"/>
      <c r="AJ141" s="250"/>
      <c r="AK141" s="48"/>
      <c r="AM141" s="38"/>
      <c r="AN141" s="38"/>
      <c r="AO141" s="38"/>
      <c r="AP141" s="38"/>
      <c r="AQ141" s="38"/>
      <c r="AR141" s="38"/>
      <c r="AS141" s="38"/>
      <c r="AT141" s="38"/>
      <c r="AU141" s="48"/>
    </row>
    <row r="142" ht="15.75" customHeight="1">
      <c r="A142" s="350" t="s">
        <v>2169</v>
      </c>
      <c r="B142" s="38">
        <v>2.0</v>
      </c>
      <c r="C142" s="48"/>
      <c r="D142" s="38"/>
      <c r="E142" s="48"/>
      <c r="F142" s="7" t="s">
        <v>2040</v>
      </c>
      <c r="J142" s="294" t="s">
        <v>2104</v>
      </c>
      <c r="K142" s="177"/>
      <c r="L142" s="177"/>
      <c r="M142" s="7" t="s">
        <v>2097</v>
      </c>
      <c r="P142" s="294" t="s">
        <v>2106</v>
      </c>
      <c r="Q142" s="177"/>
      <c r="R142" s="203"/>
      <c r="S142" s="203"/>
      <c r="T142" s="203"/>
      <c r="U142" s="203"/>
      <c r="V142" s="7" t="s">
        <v>2040</v>
      </c>
      <c r="Z142" s="294" t="s">
        <v>2112</v>
      </c>
      <c r="AA142" s="177"/>
      <c r="AB142" s="177"/>
      <c r="AC142" s="7" t="s">
        <v>1995</v>
      </c>
      <c r="AG142" s="294" t="s">
        <v>2107</v>
      </c>
      <c r="AH142" s="177"/>
      <c r="AI142" s="177"/>
      <c r="AJ142" s="112"/>
      <c r="AK142" s="309"/>
      <c r="AM142" s="38"/>
      <c r="AN142" s="38"/>
      <c r="AO142" s="38"/>
      <c r="AP142" s="38"/>
      <c r="AQ142" s="38"/>
      <c r="AR142" s="38"/>
      <c r="AS142" s="38"/>
      <c r="AT142" s="38"/>
      <c r="AU142" s="48"/>
    </row>
    <row r="143" ht="15.75" customHeight="1">
      <c r="A143" s="33"/>
      <c r="B143" s="38">
        <v>3.0</v>
      </c>
      <c r="C143" s="48"/>
      <c r="D143" s="38"/>
      <c r="E143" s="48"/>
      <c r="F143" s="38"/>
      <c r="G143" s="38"/>
      <c r="H143" s="38"/>
      <c r="I143" s="38"/>
      <c r="J143" s="38"/>
      <c r="K143" s="38"/>
      <c r="L143" s="38"/>
      <c r="M143" s="38"/>
      <c r="N143" s="38"/>
      <c r="O143" s="38"/>
      <c r="P143" s="38"/>
      <c r="Q143" s="38"/>
      <c r="R143" s="203"/>
      <c r="S143" s="203"/>
      <c r="T143" s="203"/>
      <c r="U143" s="203"/>
      <c r="V143" s="38"/>
      <c r="W143" s="38"/>
      <c r="X143" s="38"/>
      <c r="Y143" s="38"/>
      <c r="Z143" s="38"/>
      <c r="AA143" s="38"/>
      <c r="AB143" s="38"/>
      <c r="AC143" s="38"/>
      <c r="AD143" s="38"/>
      <c r="AE143" s="38"/>
      <c r="AF143" s="38"/>
      <c r="AG143" s="38"/>
      <c r="AH143" s="38"/>
      <c r="AI143" s="38"/>
      <c r="AJ143" s="38"/>
      <c r="AK143" s="48"/>
      <c r="AL143" s="38"/>
      <c r="AM143" s="38"/>
      <c r="AN143" s="38"/>
      <c r="AO143" s="38"/>
      <c r="AP143" s="38"/>
      <c r="AQ143" s="38"/>
      <c r="AR143" s="38"/>
      <c r="AS143" s="38"/>
      <c r="AT143" s="38"/>
      <c r="AU143" s="48"/>
    </row>
    <row r="144" ht="15.75" customHeight="1">
      <c r="A144" s="33"/>
      <c r="B144" s="38">
        <v>4.0</v>
      </c>
      <c r="C144" s="48"/>
      <c r="D144" s="38"/>
      <c r="E144" s="48"/>
      <c r="F144" s="38"/>
      <c r="G144" s="38"/>
      <c r="H144" s="38"/>
      <c r="I144" s="38"/>
      <c r="J144" s="38"/>
      <c r="K144" s="38"/>
      <c r="L144" s="38"/>
      <c r="M144" s="38"/>
      <c r="N144" s="38"/>
      <c r="O144" s="38"/>
      <c r="P144" s="38"/>
      <c r="Q144" s="38"/>
      <c r="R144" s="203"/>
      <c r="S144" s="203"/>
      <c r="T144" s="203"/>
      <c r="U144" s="203"/>
      <c r="V144" s="38"/>
      <c r="W144" s="38"/>
      <c r="X144" s="38"/>
      <c r="Y144" s="38"/>
      <c r="Z144" s="38"/>
      <c r="AA144" s="38"/>
      <c r="AB144" s="38"/>
      <c r="AC144" s="38"/>
      <c r="AD144" s="38"/>
      <c r="AE144" s="38"/>
      <c r="AF144" s="38"/>
      <c r="AG144" s="38"/>
      <c r="AH144" s="38"/>
      <c r="AI144" s="38"/>
      <c r="AJ144" s="38"/>
      <c r="AK144" s="48"/>
      <c r="AL144" s="38"/>
      <c r="AM144" s="38"/>
      <c r="AN144" s="38"/>
      <c r="AO144" s="38"/>
      <c r="AP144" s="38"/>
      <c r="AQ144" s="38"/>
      <c r="AR144" s="38"/>
      <c r="AS144" s="38"/>
      <c r="AT144" s="38"/>
      <c r="AU144" s="48"/>
    </row>
    <row r="145" ht="15.75" customHeight="1">
      <c r="A145" s="33"/>
      <c r="B145" s="38">
        <v>5.0</v>
      </c>
      <c r="C145" s="48"/>
      <c r="D145" s="38"/>
      <c r="E145" s="48"/>
      <c r="F145" s="38"/>
      <c r="G145" s="38"/>
      <c r="H145" s="38"/>
      <c r="I145" s="38"/>
      <c r="J145" s="38"/>
      <c r="K145" s="38"/>
      <c r="L145" s="38"/>
      <c r="M145" s="38"/>
      <c r="N145" s="38"/>
      <c r="O145" s="38"/>
      <c r="P145" s="38"/>
      <c r="Q145" s="38"/>
      <c r="R145" s="203"/>
      <c r="S145" s="203"/>
      <c r="T145" s="203"/>
      <c r="U145" s="203"/>
      <c r="V145" s="38"/>
      <c r="W145" s="38"/>
      <c r="X145" s="38"/>
      <c r="Y145" s="38"/>
      <c r="Z145" s="38"/>
      <c r="AA145" s="38"/>
      <c r="AB145" s="38"/>
      <c r="AC145" s="38"/>
      <c r="AD145" s="38"/>
      <c r="AE145" s="38"/>
      <c r="AF145" s="38"/>
      <c r="AG145" s="38"/>
      <c r="AH145" s="38"/>
      <c r="AI145" s="38"/>
      <c r="AJ145" s="38"/>
      <c r="AK145" s="48"/>
      <c r="AL145" s="38"/>
      <c r="AM145" s="38"/>
      <c r="AN145" s="38"/>
      <c r="AO145" s="38"/>
      <c r="AP145" s="38"/>
      <c r="AQ145" s="38"/>
      <c r="AR145" s="38"/>
      <c r="AS145" s="38"/>
      <c r="AT145" s="38"/>
      <c r="AU145" s="48"/>
    </row>
    <row r="146" ht="15.75" customHeight="1">
      <c r="A146" s="33"/>
      <c r="B146" s="38">
        <v>6.0</v>
      </c>
      <c r="C146" s="48"/>
      <c r="D146" s="38"/>
      <c r="E146" s="48"/>
      <c r="F146" s="38"/>
      <c r="G146" s="38"/>
      <c r="H146" s="38"/>
      <c r="I146" s="38"/>
      <c r="J146" s="38"/>
      <c r="K146" s="38"/>
      <c r="L146" s="38"/>
      <c r="M146" s="38"/>
      <c r="N146" s="38"/>
      <c r="O146" s="38"/>
      <c r="P146" s="38"/>
      <c r="Q146" s="38"/>
      <c r="R146" s="203"/>
      <c r="S146" s="203"/>
      <c r="T146" s="203"/>
      <c r="U146" s="203"/>
      <c r="V146" s="38"/>
      <c r="W146" s="38"/>
      <c r="X146" s="38"/>
      <c r="Y146" s="38"/>
      <c r="Z146" s="38"/>
      <c r="AA146" s="38"/>
      <c r="AB146" s="38"/>
      <c r="AC146" s="38"/>
      <c r="AD146" s="38"/>
      <c r="AE146" s="38"/>
      <c r="AF146" s="38"/>
      <c r="AG146" s="38"/>
      <c r="AH146" s="38"/>
      <c r="AI146" s="38"/>
      <c r="AJ146" s="38"/>
      <c r="AK146" s="48"/>
      <c r="AL146" s="38"/>
      <c r="AM146" s="38"/>
      <c r="AN146" s="38"/>
      <c r="AO146" s="38"/>
      <c r="AP146" s="38"/>
      <c r="AQ146" s="38"/>
      <c r="AR146" s="38"/>
      <c r="AS146" s="38"/>
      <c r="AT146" s="38"/>
      <c r="AU146" s="48"/>
    </row>
    <row r="147" ht="15.75" customHeight="1">
      <c r="A147" s="33"/>
      <c r="B147" s="38"/>
      <c r="C147" s="48"/>
      <c r="D147" s="38"/>
      <c r="E147" s="48"/>
      <c r="F147" s="38"/>
      <c r="G147" s="38"/>
      <c r="H147" s="38"/>
      <c r="I147" s="38"/>
      <c r="J147" s="38"/>
      <c r="K147" s="38"/>
      <c r="L147" s="38"/>
      <c r="M147" s="38"/>
      <c r="N147" s="38"/>
      <c r="O147" s="38"/>
      <c r="P147" s="38"/>
      <c r="Q147" s="38"/>
      <c r="R147" s="203"/>
      <c r="S147" s="203"/>
      <c r="T147" s="203"/>
      <c r="U147" s="203"/>
      <c r="V147" s="38"/>
      <c r="W147" s="38"/>
      <c r="X147" s="38"/>
      <c r="Y147" s="38"/>
      <c r="Z147" s="38"/>
      <c r="AA147" s="38"/>
      <c r="AB147" s="38"/>
      <c r="AC147" s="38"/>
      <c r="AD147" s="38"/>
      <c r="AE147" s="38"/>
      <c r="AF147" s="38"/>
      <c r="AG147" s="38"/>
      <c r="AH147" s="38"/>
      <c r="AI147" s="38"/>
      <c r="AJ147" s="38"/>
      <c r="AK147" s="48"/>
      <c r="AL147" s="38"/>
      <c r="AM147" s="38"/>
      <c r="AN147" s="38"/>
      <c r="AO147" s="38"/>
      <c r="AP147" s="38"/>
      <c r="AQ147" s="38"/>
      <c r="AR147" s="38"/>
      <c r="AS147" s="38"/>
      <c r="AT147" s="38"/>
      <c r="AU147" s="48"/>
    </row>
    <row r="148" ht="15.75" customHeight="1">
      <c r="A148" s="170" t="s">
        <v>2128</v>
      </c>
      <c r="B148" s="38">
        <v>1.0</v>
      </c>
      <c r="C148" s="48"/>
      <c r="D148" s="173" t="s">
        <v>305</v>
      </c>
      <c r="E148" s="173"/>
      <c r="F148" s="299" t="s">
        <v>2110</v>
      </c>
      <c r="G148" s="180"/>
      <c r="H148" s="180"/>
      <c r="I148" s="180"/>
      <c r="J148" s="38"/>
      <c r="K148" s="235"/>
      <c r="L148" s="38"/>
      <c r="M148" s="299" t="s">
        <v>2105</v>
      </c>
      <c r="N148" s="180"/>
      <c r="O148" s="180"/>
      <c r="P148" s="38"/>
      <c r="Q148" s="38"/>
      <c r="R148" s="203"/>
      <c r="S148" s="203"/>
      <c r="T148" s="203"/>
      <c r="U148" s="203"/>
      <c r="V148" s="299" t="s">
        <v>2108</v>
      </c>
      <c r="W148" s="180"/>
      <c r="X148" s="180"/>
      <c r="Y148" s="38"/>
      <c r="Z148" s="38"/>
      <c r="AA148" s="299" t="s">
        <v>2129</v>
      </c>
      <c r="AB148" s="180"/>
      <c r="AC148" s="180"/>
      <c r="AD148" s="180"/>
      <c r="AE148" s="38"/>
      <c r="AF148" s="235"/>
      <c r="AG148" s="38"/>
      <c r="AJ148" s="250"/>
      <c r="AK148" s="48"/>
      <c r="AL148" s="38"/>
      <c r="AM148" s="38"/>
      <c r="AN148" s="38"/>
      <c r="AO148" s="38"/>
      <c r="AP148" s="38"/>
      <c r="AQ148" s="38"/>
      <c r="AR148" s="38"/>
      <c r="AS148" s="38"/>
      <c r="AT148" s="38"/>
      <c r="AU148" s="48"/>
    </row>
    <row r="149" ht="15.75" customHeight="1">
      <c r="A149" s="350" t="s">
        <v>2170</v>
      </c>
      <c r="B149" s="38">
        <v>2.0</v>
      </c>
      <c r="C149" s="48"/>
      <c r="D149" s="38"/>
      <c r="E149" s="48"/>
      <c r="F149" s="7" t="s">
        <v>2132</v>
      </c>
      <c r="G149" s="38"/>
      <c r="I149" s="351"/>
      <c r="J149" s="352" t="s">
        <v>2110</v>
      </c>
      <c r="K149" s="177"/>
      <c r="L149" s="112"/>
      <c r="M149" s="7" t="s">
        <v>2111</v>
      </c>
      <c r="N149" s="38"/>
      <c r="P149" s="352" t="s">
        <v>2105</v>
      </c>
      <c r="Q149" s="177"/>
      <c r="R149" s="203"/>
      <c r="S149" s="203"/>
      <c r="T149" s="203"/>
      <c r="U149" s="203"/>
      <c r="V149" s="7" t="s">
        <v>2133</v>
      </c>
      <c r="W149" s="38"/>
      <c r="Y149" s="352" t="s">
        <v>2108</v>
      </c>
      <c r="Z149" s="177"/>
      <c r="AA149" s="7" t="s">
        <v>2041</v>
      </c>
      <c r="AB149" s="38"/>
      <c r="AD149" s="351"/>
      <c r="AE149" s="352" t="s">
        <v>2129</v>
      </c>
      <c r="AF149" s="177"/>
      <c r="AG149" s="112"/>
      <c r="AH149" s="177"/>
      <c r="AI149" s="177"/>
      <c r="AJ149" s="112"/>
      <c r="AK149" s="309"/>
      <c r="AL149" s="38"/>
      <c r="AM149" s="38"/>
      <c r="AN149" s="38"/>
      <c r="AO149" s="38"/>
      <c r="AP149" s="38"/>
      <c r="AQ149" s="38"/>
      <c r="AR149" s="38"/>
      <c r="AS149" s="38"/>
      <c r="AT149" s="38"/>
      <c r="AU149" s="48"/>
    </row>
    <row r="150" ht="15.75" customHeight="1">
      <c r="B150" s="38">
        <v>3.0</v>
      </c>
      <c r="C150" s="48"/>
      <c r="D150" s="38"/>
      <c r="E150" s="48"/>
      <c r="F150" s="38"/>
      <c r="G150" s="38"/>
      <c r="H150" s="38"/>
      <c r="I150" s="38"/>
      <c r="J150" s="38"/>
      <c r="K150" s="38"/>
      <c r="L150" s="38"/>
      <c r="M150" s="38"/>
      <c r="N150" s="38"/>
      <c r="O150" s="38"/>
      <c r="P150" s="38"/>
      <c r="Q150" s="38"/>
      <c r="R150" s="203"/>
      <c r="S150" s="203"/>
      <c r="T150" s="203"/>
      <c r="U150" s="203"/>
      <c r="V150" s="38"/>
      <c r="W150" s="38"/>
      <c r="X150" s="38"/>
      <c r="Y150" s="38"/>
      <c r="Z150" s="38"/>
      <c r="AA150" s="38"/>
      <c r="AB150" s="38"/>
      <c r="AC150" s="38"/>
      <c r="AD150" s="38"/>
      <c r="AE150" s="38"/>
      <c r="AF150" s="38"/>
      <c r="AG150" s="38"/>
      <c r="AH150" s="38"/>
      <c r="AI150" s="38"/>
      <c r="AJ150" s="38"/>
      <c r="AK150" s="48"/>
      <c r="AL150" s="38"/>
      <c r="AM150" s="38"/>
      <c r="AN150" s="38"/>
      <c r="AO150" s="38"/>
      <c r="AP150" s="38"/>
      <c r="AQ150" s="38"/>
      <c r="AR150" s="38"/>
      <c r="AS150" s="38"/>
      <c r="AT150" s="38"/>
      <c r="AU150" s="48"/>
    </row>
    <row r="151" ht="15.75" customHeight="1">
      <c r="B151" s="38">
        <v>4.0</v>
      </c>
      <c r="C151" s="48"/>
      <c r="D151" s="38"/>
      <c r="E151" s="48"/>
      <c r="F151" s="38"/>
      <c r="G151" s="38"/>
      <c r="H151" s="38"/>
      <c r="I151" s="38"/>
      <c r="J151" s="38"/>
      <c r="K151" s="38"/>
      <c r="L151" s="38"/>
      <c r="M151" s="38"/>
      <c r="N151" s="38"/>
      <c r="O151" s="38"/>
      <c r="P151" s="38"/>
      <c r="Q151" s="38"/>
      <c r="R151" s="203"/>
      <c r="S151" s="203"/>
      <c r="T151" s="203"/>
      <c r="U151" s="203"/>
      <c r="V151" s="38"/>
      <c r="W151" s="38"/>
      <c r="X151" s="38"/>
      <c r="Y151" s="38"/>
      <c r="Z151" s="38"/>
      <c r="AA151" s="38"/>
      <c r="AB151" s="38"/>
      <c r="AC151" s="38"/>
      <c r="AD151" s="38"/>
      <c r="AE151" s="38"/>
      <c r="AF151" s="38"/>
      <c r="AG151" s="38"/>
      <c r="AH151" s="38"/>
      <c r="AI151" s="38"/>
      <c r="AJ151" s="38"/>
      <c r="AK151" s="48"/>
      <c r="AL151" s="38"/>
      <c r="AM151" s="38"/>
      <c r="AN151" s="38"/>
      <c r="AO151" s="38"/>
      <c r="AP151" s="38"/>
      <c r="AQ151" s="38"/>
      <c r="AR151" s="38"/>
      <c r="AS151" s="38"/>
      <c r="AT151" s="38"/>
      <c r="AU151" s="48"/>
    </row>
    <row r="152" ht="15.75" customHeight="1">
      <c r="A152" s="47"/>
      <c r="B152" s="38">
        <v>5.0</v>
      </c>
      <c r="C152" s="48"/>
      <c r="D152" s="38"/>
      <c r="E152" s="48"/>
      <c r="F152" s="38"/>
      <c r="G152" s="38"/>
      <c r="H152" s="38"/>
      <c r="I152" s="38"/>
      <c r="J152" s="38"/>
      <c r="K152" s="38"/>
      <c r="L152" s="38"/>
      <c r="M152" s="38"/>
      <c r="N152" s="38"/>
      <c r="O152" s="38"/>
      <c r="P152" s="38"/>
      <c r="Q152" s="38"/>
      <c r="R152" s="203"/>
      <c r="S152" s="203"/>
      <c r="T152" s="203"/>
      <c r="U152" s="203"/>
      <c r="V152" s="38"/>
      <c r="W152" s="38"/>
      <c r="X152" s="38"/>
      <c r="Y152" s="38"/>
      <c r="Z152" s="38"/>
      <c r="AA152" s="38"/>
      <c r="AB152" s="38"/>
      <c r="AC152" s="38"/>
      <c r="AD152" s="38"/>
      <c r="AE152" s="38"/>
      <c r="AF152" s="38"/>
      <c r="AG152" s="38"/>
      <c r="AH152" s="38"/>
      <c r="AI152" s="38"/>
      <c r="AJ152" s="38"/>
      <c r="AK152" s="48"/>
      <c r="AL152" s="38"/>
      <c r="AM152" s="38"/>
      <c r="AN152" s="38"/>
      <c r="AO152" s="38"/>
      <c r="AP152" s="38"/>
      <c r="AQ152" s="38"/>
      <c r="AR152" s="38"/>
      <c r="AS152" s="38"/>
      <c r="AT152" s="38"/>
      <c r="AU152" s="48"/>
    </row>
    <row r="153" ht="15.75" customHeight="1">
      <c r="A153" s="33"/>
      <c r="B153" s="38">
        <v>6.0</v>
      </c>
      <c r="C153" s="48"/>
      <c r="D153" s="38"/>
      <c r="E153" s="48"/>
      <c r="F153" s="38"/>
      <c r="G153" s="38"/>
      <c r="H153" s="38"/>
      <c r="I153" s="38"/>
      <c r="J153" s="38"/>
      <c r="K153" s="38"/>
      <c r="L153" s="38"/>
      <c r="M153" s="38"/>
      <c r="N153" s="38"/>
      <c r="O153" s="38"/>
      <c r="P153" s="38"/>
      <c r="Q153" s="38"/>
      <c r="R153" s="203"/>
      <c r="S153" s="203"/>
      <c r="T153" s="203"/>
      <c r="U153" s="203"/>
      <c r="V153" s="38"/>
      <c r="W153" s="38"/>
      <c r="X153" s="38"/>
      <c r="Y153" s="38"/>
      <c r="Z153" s="38"/>
      <c r="AA153" s="38"/>
      <c r="AB153" s="38"/>
      <c r="AC153" s="38"/>
      <c r="AD153" s="38"/>
      <c r="AE153" s="38"/>
      <c r="AF153" s="38"/>
      <c r="AG153" s="38"/>
      <c r="AH153" s="38"/>
      <c r="AI153" s="38"/>
      <c r="AJ153" s="38"/>
      <c r="AK153" s="48"/>
      <c r="AL153" s="38"/>
      <c r="AM153" s="38"/>
      <c r="AN153" s="38"/>
      <c r="AO153" s="38"/>
      <c r="AP153" s="38"/>
      <c r="AQ153" s="38"/>
      <c r="AR153" s="38"/>
      <c r="AS153" s="38"/>
      <c r="AT153" s="38"/>
      <c r="AU153" s="48"/>
    </row>
    <row r="154" ht="15.75" customHeight="1">
      <c r="A154" s="33"/>
      <c r="B154" s="38">
        <v>7.0</v>
      </c>
      <c r="C154" s="48"/>
      <c r="D154" s="38"/>
      <c r="E154" s="48"/>
      <c r="F154" s="38"/>
      <c r="G154" s="38"/>
      <c r="H154" s="38"/>
      <c r="I154" s="38"/>
      <c r="J154" s="38"/>
      <c r="K154" s="38"/>
      <c r="L154" s="38"/>
      <c r="M154" s="38"/>
      <c r="N154" s="38"/>
      <c r="O154" s="38"/>
      <c r="P154" s="38"/>
      <c r="Q154" s="38"/>
      <c r="R154" s="203"/>
      <c r="S154" s="203"/>
      <c r="T154" s="203"/>
      <c r="U154" s="203"/>
      <c r="V154" s="38"/>
      <c r="W154" s="38"/>
      <c r="X154" s="38"/>
      <c r="Y154" s="38"/>
      <c r="Z154" s="38"/>
      <c r="AA154" s="38"/>
      <c r="AB154" s="38"/>
      <c r="AC154" s="38"/>
      <c r="AD154" s="38"/>
      <c r="AE154" s="38"/>
      <c r="AF154" s="38"/>
      <c r="AG154" s="38"/>
      <c r="AH154" s="38"/>
      <c r="AI154" s="38"/>
      <c r="AJ154" s="38"/>
      <c r="AK154" s="48"/>
      <c r="AL154" s="38"/>
      <c r="AM154" s="38"/>
      <c r="AN154" s="38"/>
      <c r="AO154" s="38"/>
      <c r="AP154" s="38"/>
      <c r="AQ154" s="38"/>
      <c r="AR154" s="38"/>
      <c r="AS154" s="38"/>
      <c r="AT154" s="38"/>
      <c r="AU154" s="48"/>
    </row>
    <row r="155" ht="15.75" customHeight="1">
      <c r="A155" s="33"/>
      <c r="B155" s="38"/>
      <c r="C155" s="48"/>
      <c r="D155" s="38"/>
      <c r="E155" s="48"/>
      <c r="F155" s="38"/>
      <c r="G155" s="38"/>
      <c r="H155" s="38"/>
      <c r="I155" s="38"/>
      <c r="J155" s="38"/>
      <c r="K155" s="38"/>
      <c r="L155" s="38"/>
      <c r="M155" s="38"/>
      <c r="N155" s="38"/>
      <c r="O155" s="38"/>
      <c r="P155" s="38"/>
      <c r="Q155" s="38"/>
      <c r="R155" s="203"/>
      <c r="S155" s="203"/>
      <c r="T155" s="203"/>
      <c r="U155" s="203"/>
      <c r="V155" s="38"/>
      <c r="W155" s="38"/>
      <c r="X155" s="38"/>
      <c r="Y155" s="38"/>
      <c r="Z155" s="38"/>
      <c r="AA155" s="38"/>
      <c r="AB155" s="38"/>
      <c r="AC155" s="38"/>
      <c r="AD155" s="38"/>
      <c r="AE155" s="38"/>
      <c r="AF155" s="38"/>
      <c r="AG155" s="38"/>
      <c r="AH155" s="38"/>
      <c r="AI155" s="38"/>
      <c r="AJ155" s="38"/>
      <c r="AK155" s="48"/>
      <c r="AL155" s="38"/>
      <c r="AM155" s="38"/>
      <c r="AN155" s="38"/>
      <c r="AO155" s="38"/>
      <c r="AP155" s="38"/>
      <c r="AQ155" s="38"/>
      <c r="AR155" s="38"/>
      <c r="AS155" s="38"/>
      <c r="AT155" s="38"/>
      <c r="AU155" s="48"/>
    </row>
    <row r="156" ht="15.75" customHeight="1">
      <c r="A156" s="170" t="s">
        <v>2171</v>
      </c>
      <c r="B156" s="38">
        <v>1.0</v>
      </c>
      <c r="C156" s="48"/>
      <c r="D156" s="173" t="s">
        <v>305</v>
      </c>
      <c r="E156" s="173"/>
      <c r="F156" s="299" t="s">
        <v>2093</v>
      </c>
      <c r="G156" s="180"/>
      <c r="H156" s="180"/>
      <c r="I156" s="180"/>
      <c r="M156" s="299" t="s">
        <v>2094</v>
      </c>
      <c r="N156" s="180"/>
      <c r="O156" s="180"/>
      <c r="P156" s="300"/>
      <c r="Q156" s="300"/>
      <c r="R156" s="203"/>
      <c r="S156" s="203"/>
      <c r="T156" s="203"/>
      <c r="U156" s="203"/>
      <c r="V156" s="299" t="s">
        <v>2108</v>
      </c>
      <c r="W156" s="180"/>
      <c r="X156" s="180"/>
      <c r="Y156" s="38"/>
      <c r="Z156" s="38"/>
      <c r="AA156" s="299" t="s">
        <v>2129</v>
      </c>
      <c r="AB156" s="180"/>
      <c r="AC156" s="180"/>
      <c r="AD156" s="180"/>
      <c r="AE156" s="38"/>
      <c r="AF156" s="235"/>
      <c r="AG156" s="38"/>
      <c r="AJ156" s="250"/>
      <c r="AK156" s="48"/>
      <c r="AL156" s="38"/>
      <c r="AM156" s="38"/>
      <c r="AN156" s="38"/>
      <c r="AO156" s="38"/>
      <c r="AP156" s="38"/>
      <c r="AQ156" s="38"/>
      <c r="AR156" s="38"/>
      <c r="AS156" s="38"/>
      <c r="AT156" s="38"/>
      <c r="AU156" s="48"/>
    </row>
    <row r="157" ht="15.75" customHeight="1">
      <c r="A157" s="350" t="s">
        <v>2172</v>
      </c>
      <c r="B157" s="38">
        <v>2.0</v>
      </c>
      <c r="C157" s="48"/>
      <c r="D157" s="38"/>
      <c r="E157" s="48"/>
      <c r="F157" s="7" t="s">
        <v>2040</v>
      </c>
      <c r="J157" s="294" t="s">
        <v>2093</v>
      </c>
      <c r="K157" s="177"/>
      <c r="L157" s="177"/>
      <c r="M157" s="7" t="s">
        <v>2097</v>
      </c>
      <c r="P157" s="294" t="s">
        <v>2094</v>
      </c>
      <c r="Q157" s="177"/>
      <c r="R157" s="203"/>
      <c r="S157" s="203"/>
      <c r="T157" s="203"/>
      <c r="U157" s="203"/>
      <c r="V157" s="7" t="s">
        <v>2133</v>
      </c>
      <c r="W157" s="38"/>
      <c r="Y157" s="352" t="s">
        <v>2108</v>
      </c>
      <c r="Z157" s="177"/>
      <c r="AA157" s="7" t="s">
        <v>2041</v>
      </c>
      <c r="AB157" s="38"/>
      <c r="AD157" s="351"/>
      <c r="AE157" s="352" t="s">
        <v>2129</v>
      </c>
      <c r="AF157" s="177"/>
      <c r="AG157" s="112"/>
      <c r="AH157" s="177"/>
      <c r="AI157" s="177"/>
      <c r="AJ157" s="112"/>
      <c r="AK157" s="309"/>
      <c r="AL157" s="38"/>
      <c r="AM157" s="38"/>
      <c r="AN157" s="38"/>
      <c r="AO157" s="38"/>
      <c r="AP157" s="38"/>
      <c r="AQ157" s="38"/>
      <c r="AR157" s="38"/>
      <c r="AS157" s="38"/>
      <c r="AT157" s="38"/>
      <c r="AU157" s="48"/>
    </row>
    <row r="158" ht="15.75" customHeight="1">
      <c r="B158" s="38">
        <v>3.0</v>
      </c>
      <c r="C158" s="48"/>
      <c r="D158" s="38"/>
      <c r="E158" s="48"/>
      <c r="F158" s="43" t="s">
        <v>2099</v>
      </c>
      <c r="G158" s="38"/>
      <c r="H158" s="38"/>
      <c r="I158" s="38"/>
      <c r="J158" s="38"/>
      <c r="K158" s="38"/>
      <c r="L158" s="38"/>
      <c r="M158" s="38"/>
      <c r="N158" s="38"/>
      <c r="O158" s="38"/>
      <c r="P158" s="38"/>
      <c r="Q158" s="38"/>
      <c r="R158" s="203"/>
      <c r="S158" s="203"/>
      <c r="T158" s="203"/>
      <c r="U158" s="203"/>
      <c r="V158" s="38"/>
      <c r="W158" s="38"/>
      <c r="X158" s="38"/>
      <c r="Y158" s="38"/>
      <c r="Z158" s="38"/>
      <c r="AA158" s="38"/>
      <c r="AB158" s="38"/>
      <c r="AC158" s="38"/>
      <c r="AD158" s="38"/>
      <c r="AE158" s="38"/>
      <c r="AF158" s="38"/>
      <c r="AG158" s="38"/>
      <c r="AH158" s="38"/>
      <c r="AI158" s="38"/>
      <c r="AJ158" s="38"/>
      <c r="AK158" s="48"/>
      <c r="AL158" s="38"/>
      <c r="AM158" s="38"/>
      <c r="AN158" s="38"/>
      <c r="AO158" s="38"/>
      <c r="AP158" s="38"/>
      <c r="AQ158" s="38"/>
      <c r="AR158" s="38"/>
      <c r="AS158" s="38"/>
      <c r="AT158" s="38"/>
      <c r="AU158" s="48"/>
    </row>
    <row r="159" ht="15.75" customHeight="1">
      <c r="A159" s="33"/>
      <c r="B159" s="38">
        <v>4.0</v>
      </c>
      <c r="C159" s="48"/>
      <c r="D159" s="38"/>
      <c r="E159" s="48"/>
      <c r="F159" s="38"/>
      <c r="G159" s="38"/>
      <c r="H159" s="38"/>
      <c r="I159" s="38"/>
      <c r="J159" s="38"/>
      <c r="K159" s="38"/>
      <c r="L159" s="38"/>
      <c r="M159" s="38"/>
      <c r="N159" s="38"/>
      <c r="O159" s="38"/>
      <c r="P159" s="38"/>
      <c r="Q159" s="38"/>
      <c r="R159" s="203"/>
      <c r="S159" s="203"/>
      <c r="T159" s="203"/>
      <c r="U159" s="203"/>
      <c r="V159" s="38"/>
      <c r="W159" s="38"/>
      <c r="X159" s="38"/>
      <c r="Y159" s="38"/>
      <c r="Z159" s="38"/>
      <c r="AA159" s="38"/>
      <c r="AB159" s="38"/>
      <c r="AC159" s="38"/>
      <c r="AD159" s="38"/>
      <c r="AE159" s="38"/>
      <c r="AF159" s="38"/>
      <c r="AG159" s="38"/>
      <c r="AH159" s="38"/>
      <c r="AI159" s="38"/>
      <c r="AJ159" s="38"/>
      <c r="AK159" s="48"/>
      <c r="AL159" s="38"/>
      <c r="AM159" s="38"/>
      <c r="AN159" s="38"/>
      <c r="AO159" s="38"/>
      <c r="AP159" s="38"/>
      <c r="AQ159" s="38"/>
      <c r="AR159" s="38"/>
      <c r="AS159" s="38"/>
      <c r="AT159" s="38"/>
      <c r="AU159" s="48"/>
    </row>
    <row r="160" ht="15.75" customHeight="1">
      <c r="B160" s="38">
        <v>5.0</v>
      </c>
      <c r="C160" s="48"/>
      <c r="D160" s="38"/>
      <c r="E160" s="48"/>
      <c r="F160" s="38"/>
      <c r="G160" s="38"/>
      <c r="H160" s="38"/>
      <c r="I160" s="38"/>
      <c r="J160" s="38"/>
      <c r="K160" s="38"/>
      <c r="L160" s="38"/>
      <c r="M160" s="38"/>
      <c r="N160" s="38"/>
      <c r="O160" s="38"/>
      <c r="P160" s="38"/>
      <c r="Q160" s="38"/>
      <c r="R160" s="203"/>
      <c r="S160" s="203"/>
      <c r="T160" s="203"/>
      <c r="U160" s="203"/>
      <c r="V160" s="38"/>
      <c r="W160" s="38"/>
      <c r="X160" s="38"/>
      <c r="Y160" s="38"/>
      <c r="Z160" s="38"/>
      <c r="AA160" s="38"/>
      <c r="AB160" s="38"/>
      <c r="AC160" s="38"/>
      <c r="AD160" s="38"/>
      <c r="AE160" s="38"/>
      <c r="AF160" s="38"/>
      <c r="AG160" s="38"/>
      <c r="AH160" s="38"/>
      <c r="AI160" s="38"/>
      <c r="AJ160" s="38"/>
      <c r="AK160" s="48"/>
      <c r="AL160" s="38"/>
      <c r="AM160" s="38"/>
      <c r="AN160" s="38"/>
      <c r="AO160" s="38"/>
      <c r="AP160" s="38"/>
      <c r="AQ160" s="38"/>
      <c r="AR160" s="38"/>
      <c r="AS160" s="38"/>
      <c r="AT160" s="38"/>
      <c r="AU160" s="48"/>
    </row>
    <row r="161" ht="15.75" customHeight="1">
      <c r="B161" s="38">
        <v>6.0</v>
      </c>
      <c r="C161" s="48"/>
      <c r="D161" s="38"/>
      <c r="E161" s="48"/>
      <c r="F161" s="38"/>
      <c r="G161" s="38"/>
      <c r="H161" s="38"/>
      <c r="I161" s="38"/>
      <c r="J161" s="38"/>
      <c r="K161" s="38"/>
      <c r="L161" s="38"/>
      <c r="M161" s="38"/>
      <c r="N161" s="38"/>
      <c r="O161" s="38"/>
      <c r="P161" s="38"/>
      <c r="Q161" s="38"/>
      <c r="R161" s="203"/>
      <c r="S161" s="203"/>
      <c r="T161" s="203"/>
      <c r="U161" s="203"/>
      <c r="V161" s="38"/>
      <c r="W161" s="38"/>
      <c r="X161" s="38"/>
      <c r="Y161" s="38"/>
      <c r="Z161" s="38"/>
      <c r="AA161" s="38"/>
      <c r="AB161" s="38"/>
      <c r="AC161" s="38"/>
      <c r="AD161" s="38"/>
      <c r="AE161" s="38"/>
      <c r="AF161" s="38"/>
      <c r="AG161" s="38"/>
      <c r="AH161" s="38"/>
      <c r="AI161" s="38"/>
      <c r="AJ161" s="38"/>
      <c r="AK161" s="48"/>
      <c r="AL161" s="38"/>
      <c r="AM161" s="38"/>
      <c r="AN161" s="38"/>
      <c r="AO161" s="38"/>
      <c r="AP161" s="38"/>
      <c r="AQ161" s="38"/>
      <c r="AR161" s="38"/>
      <c r="AS161" s="38"/>
      <c r="AT161" s="38"/>
      <c r="AU161" s="48"/>
    </row>
    <row r="162" ht="15.75" customHeight="1">
      <c r="A162" s="33"/>
      <c r="B162" s="38">
        <v>7.0</v>
      </c>
      <c r="C162" s="48"/>
      <c r="D162" s="38"/>
      <c r="E162" s="48"/>
      <c r="F162" s="38"/>
      <c r="G162" s="38"/>
      <c r="H162" s="38"/>
      <c r="I162" s="38"/>
      <c r="J162" s="38"/>
      <c r="K162" s="38"/>
      <c r="L162" s="38"/>
      <c r="M162" s="38"/>
      <c r="N162" s="38"/>
      <c r="O162" s="38"/>
      <c r="P162" s="38"/>
      <c r="Q162" s="38"/>
      <c r="R162" s="203"/>
      <c r="S162" s="203"/>
      <c r="T162" s="203"/>
      <c r="U162" s="203"/>
      <c r="V162" s="38"/>
      <c r="W162" s="38"/>
      <c r="X162" s="38"/>
      <c r="Y162" s="38"/>
      <c r="Z162" s="38"/>
      <c r="AA162" s="38"/>
      <c r="AB162" s="38"/>
      <c r="AC162" s="38"/>
      <c r="AD162" s="38"/>
      <c r="AE162" s="38"/>
      <c r="AF162" s="38"/>
      <c r="AG162" s="38"/>
      <c r="AH162" s="38"/>
      <c r="AI162" s="38"/>
      <c r="AJ162" s="38"/>
      <c r="AK162" s="48"/>
      <c r="AL162" s="38"/>
      <c r="AM162" s="38"/>
      <c r="AN162" s="38"/>
      <c r="AO162" s="38"/>
      <c r="AP162" s="38"/>
      <c r="AQ162" s="38"/>
      <c r="AR162" s="38"/>
      <c r="AS162" s="38"/>
      <c r="AT162" s="38"/>
      <c r="AU162" s="48"/>
    </row>
    <row r="163" ht="15.75" customHeight="1">
      <c r="A163" s="33"/>
      <c r="B163" s="38"/>
      <c r="C163" s="48"/>
      <c r="D163" s="38"/>
      <c r="E163" s="48"/>
      <c r="F163" s="38"/>
      <c r="G163" s="38"/>
      <c r="H163" s="38"/>
      <c r="I163" s="38"/>
      <c r="J163" s="38"/>
      <c r="K163" s="38"/>
      <c r="L163" s="38"/>
      <c r="M163" s="38"/>
      <c r="N163" s="38"/>
      <c r="O163" s="38"/>
      <c r="P163" s="38"/>
      <c r="Q163" s="38"/>
      <c r="R163" s="203"/>
      <c r="S163" s="203"/>
      <c r="T163" s="203"/>
      <c r="U163" s="203"/>
      <c r="V163" s="38"/>
      <c r="W163" s="38"/>
      <c r="X163" s="38"/>
      <c r="Y163" s="38"/>
      <c r="Z163" s="38"/>
      <c r="AA163" s="38"/>
      <c r="AB163" s="38"/>
      <c r="AC163" s="38"/>
      <c r="AD163" s="38"/>
      <c r="AE163" s="38"/>
      <c r="AF163" s="38"/>
      <c r="AG163" s="38"/>
      <c r="AH163" s="38"/>
      <c r="AI163" s="38"/>
      <c r="AJ163" s="38"/>
      <c r="AK163" s="48"/>
      <c r="AL163" s="38"/>
      <c r="AM163" s="38"/>
      <c r="AN163" s="38"/>
      <c r="AO163" s="38"/>
      <c r="AP163" s="38"/>
      <c r="AQ163" s="38"/>
      <c r="AR163" s="38"/>
      <c r="AS163" s="38"/>
      <c r="AT163" s="38"/>
      <c r="AU163" s="48"/>
    </row>
    <row r="164" ht="15.75" customHeight="1">
      <c r="A164" s="170" t="s">
        <v>2135</v>
      </c>
      <c r="B164" s="38">
        <v>1.0</v>
      </c>
      <c r="C164" s="48"/>
      <c r="D164" s="173" t="s">
        <v>305</v>
      </c>
      <c r="E164" s="173"/>
      <c r="F164" s="299" t="s">
        <v>2093</v>
      </c>
      <c r="G164" s="180"/>
      <c r="H164" s="180"/>
      <c r="I164" s="180"/>
      <c r="M164" s="299" t="s">
        <v>2094</v>
      </c>
      <c r="N164" s="180"/>
      <c r="O164" s="180"/>
      <c r="P164" s="300"/>
      <c r="Q164" s="300"/>
      <c r="R164" s="203"/>
      <c r="S164" s="203"/>
      <c r="T164" s="203"/>
      <c r="U164" s="203"/>
      <c r="V164" s="299" t="s">
        <v>2108</v>
      </c>
      <c r="W164" s="180"/>
      <c r="X164" s="180"/>
      <c r="Y164" s="38"/>
      <c r="Z164" s="38"/>
      <c r="AA164" s="299" t="s">
        <v>2129</v>
      </c>
      <c r="AB164" s="180"/>
      <c r="AC164" s="180"/>
      <c r="AD164" s="180"/>
      <c r="AE164" s="38"/>
      <c r="AF164" s="235"/>
      <c r="AG164" s="38"/>
      <c r="AJ164" s="250"/>
      <c r="AK164" s="48"/>
      <c r="AL164" s="38"/>
      <c r="AM164" s="38"/>
      <c r="AN164" s="38"/>
      <c r="AO164" s="38"/>
      <c r="AP164" s="38"/>
      <c r="AQ164" s="38"/>
      <c r="AR164" s="38"/>
      <c r="AS164" s="38"/>
      <c r="AT164" s="38"/>
      <c r="AU164" s="48"/>
    </row>
    <row r="165" ht="15.75" customHeight="1">
      <c r="A165" s="350" t="s">
        <v>2173</v>
      </c>
      <c r="B165" s="38">
        <v>2.0</v>
      </c>
      <c r="C165" s="48"/>
      <c r="D165" s="38"/>
      <c r="E165" s="48"/>
      <c r="F165" s="7" t="s">
        <v>2040</v>
      </c>
      <c r="J165" s="294" t="s">
        <v>2093</v>
      </c>
      <c r="K165" s="177"/>
      <c r="L165" s="177"/>
      <c r="M165" s="7" t="s">
        <v>2097</v>
      </c>
      <c r="P165" s="294" t="s">
        <v>2094</v>
      </c>
      <c r="Q165" s="177"/>
      <c r="R165" s="203"/>
      <c r="S165" s="203"/>
      <c r="T165" s="203"/>
      <c r="U165" s="203"/>
      <c r="V165" s="7" t="s">
        <v>2133</v>
      </c>
      <c r="W165" s="38"/>
      <c r="Y165" s="352" t="s">
        <v>2108</v>
      </c>
      <c r="Z165" s="177"/>
      <c r="AA165" s="7" t="s">
        <v>2041</v>
      </c>
      <c r="AB165" s="38"/>
      <c r="AD165" s="351"/>
      <c r="AE165" s="352" t="s">
        <v>2129</v>
      </c>
      <c r="AF165" s="177"/>
      <c r="AG165" s="112"/>
      <c r="AH165" s="177"/>
      <c r="AI165" s="177"/>
      <c r="AJ165" s="112"/>
      <c r="AK165" s="309"/>
      <c r="AL165" s="38"/>
      <c r="AM165" s="38"/>
      <c r="AN165" s="38"/>
      <c r="AO165" s="38"/>
      <c r="AP165" s="38"/>
      <c r="AQ165" s="38"/>
      <c r="AR165" s="38"/>
      <c r="AS165" s="38"/>
      <c r="AT165" s="38"/>
      <c r="AU165" s="48"/>
    </row>
    <row r="166" ht="15.75" customHeight="1">
      <c r="B166" s="38">
        <v>3.0</v>
      </c>
      <c r="C166" s="48"/>
      <c r="D166" s="38"/>
      <c r="E166" s="48"/>
      <c r="F166" s="43" t="s">
        <v>2099</v>
      </c>
      <c r="G166" s="38"/>
      <c r="H166" s="38"/>
      <c r="I166" s="38"/>
      <c r="J166" s="38"/>
      <c r="K166" s="38"/>
      <c r="L166" s="38"/>
      <c r="M166" s="38"/>
      <c r="N166" s="38"/>
      <c r="O166" s="38"/>
      <c r="P166" s="38"/>
      <c r="Q166" s="38"/>
      <c r="R166" s="203"/>
      <c r="S166" s="203"/>
      <c r="T166" s="203"/>
      <c r="U166" s="203"/>
      <c r="V166" s="38"/>
      <c r="W166" s="38"/>
      <c r="X166" s="38"/>
      <c r="Y166" s="38"/>
      <c r="Z166" s="38"/>
      <c r="AA166" s="38"/>
      <c r="AB166" s="38"/>
      <c r="AC166" s="38"/>
      <c r="AD166" s="38"/>
      <c r="AE166" s="38"/>
      <c r="AF166" s="38"/>
      <c r="AG166" s="38"/>
      <c r="AH166" s="38"/>
      <c r="AI166" s="38"/>
      <c r="AJ166" s="38"/>
      <c r="AK166" s="48"/>
      <c r="AL166" s="38"/>
      <c r="AM166" s="38"/>
      <c r="AN166" s="38"/>
      <c r="AO166" s="38"/>
      <c r="AP166" s="38"/>
      <c r="AQ166" s="38"/>
      <c r="AR166" s="38"/>
      <c r="AS166" s="38"/>
      <c r="AT166" s="38"/>
      <c r="AU166" s="48"/>
    </row>
    <row r="167" ht="15.75" customHeight="1">
      <c r="B167" s="38">
        <v>4.0</v>
      </c>
      <c r="C167" s="48"/>
      <c r="D167" s="38"/>
      <c r="E167" s="48"/>
      <c r="F167" s="38"/>
      <c r="G167" s="38"/>
      <c r="H167" s="38"/>
      <c r="I167" s="38"/>
      <c r="J167" s="38"/>
      <c r="K167" s="38"/>
      <c r="L167" s="38"/>
      <c r="M167" s="38"/>
      <c r="N167" s="38"/>
      <c r="O167" s="38"/>
      <c r="P167" s="38"/>
      <c r="Q167" s="38"/>
      <c r="R167" s="203"/>
      <c r="S167" s="203"/>
      <c r="T167" s="203"/>
      <c r="U167" s="203"/>
      <c r="V167" s="38"/>
      <c r="W167" s="38"/>
      <c r="X167" s="38"/>
      <c r="Y167" s="38"/>
      <c r="Z167" s="38"/>
      <c r="AA167" s="38"/>
      <c r="AB167" s="38"/>
      <c r="AC167" s="38"/>
      <c r="AD167" s="38"/>
      <c r="AE167" s="38"/>
      <c r="AF167" s="38"/>
      <c r="AG167" s="38"/>
      <c r="AH167" s="38"/>
      <c r="AI167" s="38"/>
      <c r="AJ167" s="38"/>
      <c r="AK167" s="48"/>
      <c r="AL167" s="38"/>
      <c r="AM167" s="38"/>
      <c r="AN167" s="38"/>
      <c r="AO167" s="38"/>
      <c r="AP167" s="38"/>
      <c r="AQ167" s="38"/>
      <c r="AR167" s="38"/>
      <c r="AS167" s="38"/>
      <c r="AT167" s="38"/>
      <c r="AU167" s="48"/>
    </row>
    <row r="168" ht="15.75" customHeight="1">
      <c r="A168" s="33"/>
      <c r="B168" s="38">
        <v>5.0</v>
      </c>
      <c r="C168" s="48"/>
      <c r="D168" s="38"/>
      <c r="E168" s="48"/>
      <c r="F168" s="38"/>
      <c r="G168" s="38"/>
      <c r="H168" s="38"/>
      <c r="I168" s="38"/>
      <c r="J168" s="38"/>
      <c r="K168" s="38"/>
      <c r="L168" s="38"/>
      <c r="M168" s="38"/>
      <c r="N168" s="38"/>
      <c r="O168" s="38"/>
      <c r="P168" s="38"/>
      <c r="Q168" s="38"/>
      <c r="R168" s="203"/>
      <c r="S168" s="203"/>
      <c r="T168" s="203"/>
      <c r="U168" s="203"/>
      <c r="V168" s="38"/>
      <c r="W168" s="38"/>
      <c r="X168" s="38"/>
      <c r="Y168" s="38"/>
      <c r="Z168" s="38"/>
      <c r="AA168" s="38"/>
      <c r="AB168" s="38"/>
      <c r="AC168" s="38"/>
      <c r="AD168" s="38"/>
      <c r="AE168" s="38"/>
      <c r="AF168" s="38"/>
      <c r="AG168" s="38"/>
      <c r="AH168" s="38"/>
      <c r="AI168" s="38"/>
      <c r="AJ168" s="38"/>
      <c r="AK168" s="48"/>
      <c r="AL168" s="38"/>
      <c r="AM168" s="38"/>
      <c r="AN168" s="38"/>
      <c r="AO168" s="38"/>
      <c r="AP168" s="38"/>
      <c r="AQ168" s="38"/>
      <c r="AR168" s="38"/>
      <c r="AS168" s="38"/>
      <c r="AT168" s="38"/>
      <c r="AU168" s="48"/>
    </row>
    <row r="169" ht="15.75" customHeight="1">
      <c r="A169" s="33"/>
      <c r="B169" s="38">
        <v>6.0</v>
      </c>
      <c r="C169" s="48"/>
      <c r="D169" s="38"/>
      <c r="E169" s="48"/>
      <c r="F169" s="38"/>
      <c r="G169" s="38"/>
      <c r="H169" s="38"/>
      <c r="I169" s="38"/>
      <c r="J169" s="38"/>
      <c r="K169" s="38"/>
      <c r="L169" s="38"/>
      <c r="M169" s="38"/>
      <c r="N169" s="38"/>
      <c r="O169" s="38"/>
      <c r="P169" s="38"/>
      <c r="Q169" s="38"/>
      <c r="R169" s="203"/>
      <c r="S169" s="203"/>
      <c r="T169" s="203"/>
      <c r="U169" s="203"/>
      <c r="V169" s="38"/>
      <c r="W169" s="38"/>
      <c r="X169" s="38"/>
      <c r="Y169" s="38"/>
      <c r="Z169" s="38"/>
      <c r="AA169" s="38"/>
      <c r="AB169" s="38"/>
      <c r="AC169" s="38"/>
      <c r="AD169" s="38"/>
      <c r="AE169" s="38"/>
      <c r="AF169" s="38"/>
      <c r="AG169" s="38"/>
      <c r="AH169" s="38"/>
      <c r="AI169" s="38"/>
      <c r="AJ169" s="38"/>
      <c r="AK169" s="48"/>
      <c r="AL169" s="38"/>
      <c r="AM169" s="38"/>
      <c r="AN169" s="38"/>
      <c r="AO169" s="38"/>
      <c r="AP169" s="38"/>
      <c r="AQ169" s="38"/>
      <c r="AR169" s="38"/>
      <c r="AS169" s="38"/>
      <c r="AT169" s="38"/>
      <c r="AU169" s="48"/>
    </row>
    <row r="170" ht="15.75" customHeight="1">
      <c r="A170" s="33"/>
      <c r="B170" s="38"/>
      <c r="C170" s="48"/>
      <c r="D170" s="38"/>
      <c r="E170" s="48"/>
      <c r="F170" s="38"/>
      <c r="G170" s="38"/>
      <c r="H170" s="38"/>
      <c r="I170" s="38"/>
      <c r="J170" s="38"/>
      <c r="K170" s="38"/>
      <c r="L170" s="38"/>
      <c r="M170" s="38"/>
      <c r="N170" s="38"/>
      <c r="O170" s="38"/>
      <c r="P170" s="38"/>
      <c r="Q170" s="38"/>
      <c r="R170" s="203"/>
      <c r="S170" s="203"/>
      <c r="T170" s="203"/>
      <c r="U170" s="203"/>
      <c r="V170" s="38"/>
      <c r="W170" s="38"/>
      <c r="X170" s="38"/>
      <c r="Y170" s="38"/>
      <c r="Z170" s="38"/>
      <c r="AA170" s="38"/>
      <c r="AB170" s="38"/>
      <c r="AC170" s="38"/>
      <c r="AD170" s="38"/>
      <c r="AE170" s="38"/>
      <c r="AF170" s="38"/>
      <c r="AG170" s="38"/>
      <c r="AH170" s="38"/>
      <c r="AI170" s="38"/>
      <c r="AJ170" s="38"/>
      <c r="AK170" s="48"/>
      <c r="AL170" s="38"/>
      <c r="AM170" s="38"/>
      <c r="AN170" s="38"/>
      <c r="AO170" s="38"/>
      <c r="AP170" s="38"/>
      <c r="AQ170" s="38"/>
      <c r="AR170" s="38"/>
      <c r="AS170" s="38"/>
      <c r="AT170" s="38"/>
      <c r="AU170" s="48"/>
    </row>
    <row r="171" ht="15.75" customHeight="1">
      <c r="A171" s="170" t="s">
        <v>2139</v>
      </c>
      <c r="B171" s="38">
        <v>1.0</v>
      </c>
      <c r="C171" s="48"/>
      <c r="D171" s="173" t="s">
        <v>305</v>
      </c>
      <c r="E171" s="173"/>
      <c r="F171" s="299" t="s">
        <v>2141</v>
      </c>
      <c r="G171" s="180"/>
      <c r="H171" s="180"/>
      <c r="I171" s="180"/>
      <c r="J171" s="38"/>
      <c r="K171" s="235"/>
      <c r="L171" s="38"/>
      <c r="M171" s="299" t="s">
        <v>2142</v>
      </c>
      <c r="N171" s="180"/>
      <c r="O171" s="180"/>
      <c r="P171" s="38"/>
      <c r="Q171" s="38"/>
      <c r="R171" s="203"/>
      <c r="S171" s="203"/>
      <c r="T171" s="203"/>
      <c r="U171" s="203"/>
      <c r="V171" s="299" t="s">
        <v>2143</v>
      </c>
      <c r="W171" s="180"/>
      <c r="X171" s="180"/>
      <c r="Y171" s="180"/>
      <c r="Z171" s="38"/>
      <c r="AA171" s="235"/>
      <c r="AB171" s="38"/>
      <c r="AC171" s="299" t="s">
        <v>2144</v>
      </c>
      <c r="AD171" s="180"/>
      <c r="AE171" s="180"/>
      <c r="AF171" s="38"/>
      <c r="AG171" s="38"/>
      <c r="AH171" s="38"/>
      <c r="AI171" s="38"/>
      <c r="AJ171" s="38"/>
      <c r="AK171" s="48"/>
      <c r="AL171" s="38"/>
      <c r="AM171" s="38"/>
      <c r="AN171" s="38"/>
      <c r="AO171" s="38"/>
      <c r="AP171" s="38"/>
      <c r="AQ171" s="38"/>
      <c r="AR171" s="38"/>
      <c r="AS171" s="38"/>
      <c r="AT171" s="38"/>
      <c r="AU171" s="48"/>
    </row>
    <row r="172" ht="15.75" customHeight="1">
      <c r="A172" s="216" t="s">
        <v>2174</v>
      </c>
      <c r="B172" s="38">
        <v>2.0</v>
      </c>
      <c r="C172" s="48"/>
      <c r="D172" s="38"/>
      <c r="E172" s="48"/>
      <c r="F172" s="43" t="s">
        <v>2099</v>
      </c>
      <c r="G172" s="38"/>
      <c r="I172" s="351"/>
      <c r="J172" s="352" t="s">
        <v>2147</v>
      </c>
      <c r="K172" s="177"/>
      <c r="L172" s="112"/>
      <c r="M172" s="7" t="s">
        <v>2148</v>
      </c>
      <c r="N172" s="38"/>
      <c r="P172" s="352" t="s">
        <v>2149</v>
      </c>
      <c r="Q172" s="112"/>
      <c r="R172" s="203"/>
      <c r="S172" s="203"/>
      <c r="T172" s="203"/>
      <c r="U172" s="203"/>
      <c r="V172" s="7" t="s">
        <v>2150</v>
      </c>
      <c r="W172" s="38"/>
      <c r="Y172" s="351"/>
      <c r="Z172" s="352" t="s">
        <v>2151</v>
      </c>
      <c r="AA172" s="177"/>
      <c r="AB172" s="112"/>
      <c r="AC172" s="7" t="s">
        <v>2152</v>
      </c>
      <c r="AD172" s="38"/>
      <c r="AF172" s="352" t="s">
        <v>2153</v>
      </c>
      <c r="AG172" s="112"/>
      <c r="AH172" s="112"/>
      <c r="AI172" s="112"/>
      <c r="AJ172" s="112"/>
      <c r="AK172" s="309"/>
      <c r="AL172" s="38"/>
      <c r="AM172" s="38"/>
      <c r="AN172" s="38"/>
      <c r="AO172" s="38"/>
      <c r="AP172" s="38"/>
      <c r="AQ172" s="38"/>
      <c r="AR172" s="38"/>
      <c r="AS172" s="38"/>
      <c r="AT172" s="38"/>
      <c r="AU172" s="48"/>
    </row>
    <row r="173" ht="15.75" customHeight="1">
      <c r="B173" s="38">
        <v>3.0</v>
      </c>
      <c r="C173" s="48"/>
      <c r="D173" s="38"/>
      <c r="E173" s="48"/>
      <c r="F173" s="38"/>
      <c r="G173" s="38"/>
      <c r="H173" s="38"/>
      <c r="I173" s="38"/>
      <c r="J173" s="43" t="s">
        <v>2099</v>
      </c>
      <c r="K173" s="38"/>
      <c r="L173" s="38"/>
      <c r="M173" s="38"/>
      <c r="N173" s="38"/>
      <c r="O173" s="38"/>
      <c r="P173" s="38"/>
      <c r="Q173" s="38"/>
      <c r="R173" s="203"/>
      <c r="S173" s="203"/>
      <c r="T173" s="203"/>
      <c r="U173" s="203"/>
      <c r="V173" s="38"/>
      <c r="W173" s="38"/>
      <c r="X173" s="38"/>
      <c r="Y173" s="38"/>
      <c r="Z173" s="38"/>
      <c r="AA173" s="38"/>
      <c r="AB173" s="38"/>
      <c r="AC173" s="38"/>
      <c r="AD173" s="38"/>
      <c r="AE173" s="38"/>
      <c r="AF173" s="38"/>
      <c r="AG173" s="38"/>
      <c r="AH173" s="38"/>
      <c r="AI173" s="38"/>
      <c r="AJ173" s="38"/>
      <c r="AK173" s="48"/>
      <c r="AL173" s="38"/>
      <c r="AM173" s="38"/>
      <c r="AN173" s="38"/>
      <c r="AO173" s="38"/>
      <c r="AP173" s="38"/>
      <c r="AQ173" s="38"/>
      <c r="AR173" s="38"/>
      <c r="AS173" s="38"/>
      <c r="AT173" s="38"/>
      <c r="AU173" s="48"/>
    </row>
    <row r="174" ht="15.75" customHeight="1">
      <c r="B174" s="38">
        <v>4.0</v>
      </c>
      <c r="C174" s="48"/>
      <c r="D174" s="38"/>
      <c r="E174" s="48"/>
      <c r="F174" s="38"/>
      <c r="G174" s="38"/>
      <c r="H174" s="38"/>
      <c r="I174" s="38"/>
      <c r="J174" s="38"/>
      <c r="K174" s="38"/>
      <c r="L174" s="38"/>
      <c r="M174" s="38"/>
      <c r="N174" s="38"/>
      <c r="O174" s="38"/>
      <c r="P174" s="38"/>
      <c r="Q174" s="38"/>
      <c r="R174" s="203"/>
      <c r="S174" s="203"/>
      <c r="T174" s="203"/>
      <c r="U174" s="203"/>
      <c r="V174" s="38"/>
      <c r="W174" s="38"/>
      <c r="X174" s="38"/>
      <c r="Y174" s="38"/>
      <c r="Z174" s="38"/>
      <c r="AA174" s="38"/>
      <c r="AB174" s="38"/>
      <c r="AC174" s="38"/>
      <c r="AD174" s="38"/>
      <c r="AE174" s="38"/>
      <c r="AF174" s="38"/>
      <c r="AG174" s="38"/>
      <c r="AH174" s="38"/>
      <c r="AI174" s="38"/>
      <c r="AJ174" s="38"/>
      <c r="AK174" s="48"/>
      <c r="AL174" s="38"/>
      <c r="AM174" s="38"/>
      <c r="AN174" s="38"/>
      <c r="AO174" s="38"/>
      <c r="AP174" s="38"/>
      <c r="AQ174" s="38"/>
      <c r="AR174" s="38"/>
      <c r="AS174" s="38"/>
      <c r="AT174" s="38"/>
      <c r="AU174" s="48"/>
    </row>
    <row r="175" ht="15.75" customHeight="1">
      <c r="A175" s="33"/>
      <c r="B175" s="38">
        <v>5.0</v>
      </c>
      <c r="C175" s="48"/>
      <c r="D175" s="38"/>
      <c r="E175" s="48"/>
      <c r="F175" s="38"/>
      <c r="G175" s="38"/>
      <c r="H175" s="38"/>
      <c r="I175" s="38"/>
      <c r="J175" s="38"/>
      <c r="K175" s="38"/>
      <c r="L175" s="38"/>
      <c r="M175" s="38"/>
      <c r="N175" s="38"/>
      <c r="O175" s="38"/>
      <c r="P175" s="38"/>
      <c r="Q175" s="38"/>
      <c r="R175" s="203"/>
      <c r="S175" s="203"/>
      <c r="T175" s="203"/>
      <c r="U175" s="203"/>
      <c r="V175" s="38"/>
      <c r="W175" s="38"/>
      <c r="X175" s="38"/>
      <c r="Y175" s="38"/>
      <c r="Z175" s="38"/>
      <c r="AA175" s="38"/>
      <c r="AB175" s="38"/>
      <c r="AC175" s="38"/>
      <c r="AD175" s="38"/>
      <c r="AE175" s="38"/>
      <c r="AF175" s="38"/>
      <c r="AG175" s="38"/>
      <c r="AH175" s="38"/>
      <c r="AI175" s="38"/>
      <c r="AJ175" s="38"/>
      <c r="AK175" s="48"/>
      <c r="AL175" s="38"/>
      <c r="AM175" s="38"/>
      <c r="AN175" s="38"/>
      <c r="AO175" s="38"/>
      <c r="AP175" s="38"/>
      <c r="AQ175" s="38"/>
      <c r="AR175" s="38"/>
      <c r="AS175" s="38"/>
      <c r="AT175" s="38"/>
      <c r="AU175" s="48"/>
    </row>
    <row r="176" ht="15.75" customHeight="1">
      <c r="A176" s="33"/>
      <c r="B176" s="38">
        <v>6.0</v>
      </c>
      <c r="C176" s="48"/>
      <c r="D176" s="38"/>
      <c r="E176" s="48"/>
      <c r="F176" s="38"/>
      <c r="G176" s="38"/>
      <c r="H176" s="38"/>
      <c r="I176" s="38"/>
      <c r="J176" s="38"/>
      <c r="K176" s="38"/>
      <c r="L176" s="38"/>
      <c r="M176" s="38"/>
      <c r="N176" s="38"/>
      <c r="O176" s="38"/>
      <c r="P176" s="38"/>
      <c r="Q176" s="38"/>
      <c r="R176" s="203"/>
      <c r="S176" s="203"/>
      <c r="T176" s="203"/>
      <c r="U176" s="203"/>
      <c r="V176" s="38"/>
      <c r="W176" s="38"/>
      <c r="X176" s="38"/>
      <c r="Y176" s="38"/>
      <c r="Z176" s="38"/>
      <c r="AA176" s="38"/>
      <c r="AB176" s="38"/>
      <c r="AC176" s="38"/>
      <c r="AD176" s="38"/>
      <c r="AE176" s="38"/>
      <c r="AF176" s="38"/>
      <c r="AG176" s="38"/>
      <c r="AH176" s="38"/>
      <c r="AI176" s="38"/>
      <c r="AJ176" s="38"/>
      <c r="AK176" s="48"/>
      <c r="AL176" s="38"/>
      <c r="AM176" s="38"/>
      <c r="AN176" s="38"/>
      <c r="AO176" s="38"/>
      <c r="AP176" s="38"/>
      <c r="AQ176" s="38"/>
      <c r="AR176" s="38"/>
      <c r="AS176" s="38"/>
      <c r="AT176" s="38"/>
      <c r="AU176" s="48"/>
    </row>
    <row r="177" ht="15.75" customHeight="1">
      <c r="A177" s="33"/>
      <c r="B177" s="38"/>
      <c r="C177" s="48"/>
      <c r="D177" s="38"/>
      <c r="E177" s="48"/>
      <c r="F177" s="38"/>
      <c r="G177" s="38"/>
      <c r="H177" s="38"/>
      <c r="I177" s="38"/>
      <c r="J177" s="38"/>
      <c r="K177" s="38"/>
      <c r="L177" s="38"/>
      <c r="M177" s="38"/>
      <c r="N177" s="38"/>
      <c r="O177" s="38"/>
      <c r="P177" s="38"/>
      <c r="Q177" s="38"/>
      <c r="R177" s="203"/>
      <c r="S177" s="203"/>
      <c r="T177" s="203"/>
      <c r="U177" s="203"/>
      <c r="V177" s="38"/>
      <c r="W177" s="38"/>
      <c r="X177" s="38"/>
      <c r="Y177" s="38"/>
      <c r="Z177" s="38"/>
      <c r="AA177" s="38"/>
      <c r="AB177" s="38"/>
      <c r="AC177" s="38"/>
      <c r="AD177" s="38"/>
      <c r="AE177" s="38"/>
      <c r="AF177" s="38"/>
      <c r="AG177" s="38"/>
      <c r="AH177" s="38"/>
      <c r="AI177" s="38"/>
      <c r="AJ177" s="38"/>
      <c r="AK177" s="48"/>
      <c r="AL177" s="38"/>
      <c r="AM177" s="38"/>
      <c r="AN177" s="38"/>
      <c r="AO177" s="38"/>
      <c r="AP177" s="38"/>
      <c r="AQ177" s="38"/>
      <c r="AR177" s="38"/>
      <c r="AS177" s="38"/>
      <c r="AT177" s="38"/>
      <c r="AU177" s="48"/>
    </row>
    <row r="178" ht="15.75" customHeight="1">
      <c r="A178" s="170" t="s">
        <v>2154</v>
      </c>
      <c r="B178" s="38">
        <v>1.0</v>
      </c>
      <c r="C178" s="48"/>
      <c r="D178" s="173" t="s">
        <v>305</v>
      </c>
      <c r="E178" s="173"/>
      <c r="F178" s="299" t="s">
        <v>2093</v>
      </c>
      <c r="G178" s="180"/>
      <c r="H178" s="180"/>
      <c r="I178" s="180"/>
      <c r="M178" s="299" t="s">
        <v>2094</v>
      </c>
      <c r="N178" s="180"/>
      <c r="O178" s="180"/>
      <c r="P178" s="300"/>
      <c r="Q178" s="300"/>
      <c r="R178" s="203"/>
      <c r="S178" s="203"/>
      <c r="T178" s="203"/>
      <c r="U178" s="203"/>
      <c r="V178" s="299" t="s">
        <v>2156</v>
      </c>
      <c r="W178" s="180"/>
      <c r="X178" s="180"/>
      <c r="Y178" s="180"/>
      <c r="AC178" s="299" t="s">
        <v>2157</v>
      </c>
      <c r="AD178" s="180"/>
      <c r="AE178" s="180"/>
      <c r="AF178" s="180"/>
      <c r="AJ178" s="250"/>
      <c r="AK178" s="48"/>
      <c r="AL178" s="38"/>
      <c r="AM178" s="38"/>
      <c r="AN178" s="38"/>
      <c r="AO178" s="38"/>
      <c r="AP178" s="38"/>
      <c r="AQ178" s="38"/>
      <c r="AR178" s="38"/>
      <c r="AS178" s="38"/>
      <c r="AT178" s="38"/>
      <c r="AU178" s="48"/>
    </row>
    <row r="179" ht="15.75" customHeight="1">
      <c r="A179" s="381" t="s">
        <v>2158</v>
      </c>
      <c r="B179" s="38">
        <v>2.0</v>
      </c>
      <c r="C179" s="48"/>
      <c r="D179" s="38"/>
      <c r="E179" s="48"/>
      <c r="F179" s="7" t="s">
        <v>2040</v>
      </c>
      <c r="J179" s="294" t="s">
        <v>2093</v>
      </c>
      <c r="K179" s="177"/>
      <c r="L179" s="177"/>
      <c r="M179" s="7" t="s">
        <v>2097</v>
      </c>
      <c r="P179" s="294" t="s">
        <v>2094</v>
      </c>
      <c r="Q179" s="177"/>
      <c r="R179" s="203"/>
      <c r="S179" s="203"/>
      <c r="T179" s="203"/>
      <c r="U179" s="203"/>
      <c r="V179" s="7" t="s">
        <v>2040</v>
      </c>
      <c r="Z179" s="294" t="s">
        <v>2156</v>
      </c>
      <c r="AA179" s="177"/>
      <c r="AB179" s="177"/>
      <c r="AC179" s="7" t="s">
        <v>1995</v>
      </c>
      <c r="AG179" s="294" t="s">
        <v>2157</v>
      </c>
      <c r="AH179" s="177"/>
      <c r="AI179" s="177"/>
      <c r="AJ179" s="112"/>
      <c r="AK179" s="309"/>
      <c r="AL179" s="38"/>
      <c r="AM179" s="38"/>
      <c r="AN179" s="38"/>
      <c r="AO179" s="38"/>
      <c r="AP179" s="38"/>
      <c r="AQ179" s="38"/>
      <c r="AR179" s="38"/>
      <c r="AS179" s="38"/>
      <c r="AT179" s="38"/>
      <c r="AU179" s="48"/>
    </row>
    <row r="180" ht="15.75" customHeight="1">
      <c r="A180" s="7" t="s">
        <v>2175</v>
      </c>
      <c r="B180" s="38">
        <v>3.0</v>
      </c>
      <c r="C180" s="48"/>
      <c r="D180" s="38"/>
      <c r="E180" s="48"/>
      <c r="F180" s="38"/>
      <c r="G180" s="38"/>
      <c r="H180" s="38"/>
      <c r="I180" s="38"/>
      <c r="J180" s="38"/>
      <c r="K180" s="38"/>
      <c r="L180" s="38"/>
      <c r="M180" s="38"/>
      <c r="N180" s="38"/>
      <c r="O180" s="38"/>
      <c r="P180" s="38"/>
      <c r="Q180" s="38"/>
      <c r="R180" s="203"/>
      <c r="S180" s="203"/>
      <c r="T180" s="203"/>
      <c r="U180" s="203"/>
      <c r="V180" s="38"/>
      <c r="W180" s="38"/>
      <c r="X180" s="38"/>
      <c r="Y180" s="38"/>
      <c r="Z180" s="38"/>
      <c r="AA180" s="38"/>
      <c r="AB180" s="38"/>
      <c r="AC180" s="38"/>
      <c r="AD180" s="38"/>
      <c r="AE180" s="38"/>
      <c r="AF180" s="38"/>
      <c r="AG180" s="38"/>
      <c r="AH180" s="38"/>
      <c r="AI180" s="38"/>
      <c r="AJ180" s="38"/>
      <c r="AK180" s="48"/>
      <c r="AL180" s="38"/>
      <c r="AM180" s="38"/>
      <c r="AN180" s="38"/>
      <c r="AO180" s="38"/>
      <c r="AP180" s="38"/>
      <c r="AQ180" s="38"/>
      <c r="AR180" s="38"/>
      <c r="AS180" s="38"/>
      <c r="AT180" s="38"/>
      <c r="AU180" s="48"/>
    </row>
    <row r="181" ht="15.75" customHeight="1">
      <c r="A181" s="33"/>
      <c r="B181" s="38">
        <v>4.0</v>
      </c>
      <c r="C181" s="48"/>
      <c r="D181" s="38"/>
      <c r="E181" s="48"/>
      <c r="F181" s="38"/>
      <c r="G181" s="38"/>
      <c r="H181" s="38"/>
      <c r="I181" s="38"/>
      <c r="J181" s="38"/>
      <c r="K181" s="38"/>
      <c r="L181" s="38"/>
      <c r="M181" s="38"/>
      <c r="N181" s="38"/>
      <c r="O181" s="38"/>
      <c r="P181" s="38"/>
      <c r="Q181" s="38"/>
      <c r="R181" s="203"/>
      <c r="S181" s="203"/>
      <c r="T181" s="203"/>
      <c r="U181" s="203"/>
      <c r="V181" s="38"/>
      <c r="W181" s="38"/>
      <c r="X181" s="38"/>
      <c r="Y181" s="38"/>
      <c r="Z181" s="38"/>
      <c r="AA181" s="38"/>
      <c r="AB181" s="38"/>
      <c r="AC181" s="38"/>
      <c r="AD181" s="38"/>
      <c r="AE181" s="38"/>
      <c r="AF181" s="38"/>
      <c r="AG181" s="38"/>
      <c r="AH181" s="38"/>
      <c r="AI181" s="38"/>
      <c r="AJ181" s="38"/>
      <c r="AK181" s="48"/>
      <c r="AL181" s="38"/>
      <c r="AM181" s="38"/>
      <c r="AN181" s="38"/>
      <c r="AO181" s="38"/>
      <c r="AP181" s="38"/>
      <c r="AQ181" s="38"/>
      <c r="AR181" s="38"/>
      <c r="AS181" s="38"/>
      <c r="AT181" s="38"/>
      <c r="AU181" s="48"/>
    </row>
    <row r="182" ht="15.75" customHeight="1">
      <c r="A182" s="33"/>
      <c r="B182" s="38">
        <v>5.0</v>
      </c>
      <c r="C182" s="48"/>
      <c r="D182" s="38"/>
      <c r="E182" s="48"/>
      <c r="F182" s="38"/>
      <c r="G182" s="38"/>
      <c r="H182" s="38"/>
      <c r="I182" s="38"/>
      <c r="J182" s="38"/>
      <c r="K182" s="38"/>
      <c r="L182" s="38"/>
      <c r="M182" s="38"/>
      <c r="N182" s="38"/>
      <c r="O182" s="38"/>
      <c r="P182" s="38"/>
      <c r="Q182" s="38"/>
      <c r="R182" s="203"/>
      <c r="S182" s="203"/>
      <c r="T182" s="203"/>
      <c r="U182" s="203"/>
      <c r="V182" s="38"/>
      <c r="W182" s="38"/>
      <c r="X182" s="38"/>
      <c r="Y182" s="38"/>
      <c r="Z182" s="38"/>
      <c r="AA182" s="38"/>
      <c r="AB182" s="38"/>
      <c r="AC182" s="38"/>
      <c r="AD182" s="38"/>
      <c r="AE182" s="38"/>
      <c r="AF182" s="38"/>
      <c r="AG182" s="38"/>
      <c r="AH182" s="38"/>
      <c r="AI182" s="38"/>
      <c r="AJ182" s="38"/>
      <c r="AK182" s="48"/>
      <c r="AL182" s="38"/>
      <c r="AM182" s="38"/>
      <c r="AN182" s="38"/>
      <c r="AO182" s="38"/>
      <c r="AP182" s="38"/>
      <c r="AQ182" s="38"/>
      <c r="AR182" s="38"/>
      <c r="AS182" s="38"/>
      <c r="AT182" s="38"/>
      <c r="AU182" s="48"/>
    </row>
    <row r="183" ht="15.75" customHeight="1">
      <c r="A183" s="33"/>
      <c r="B183" s="38">
        <v>6.0</v>
      </c>
      <c r="C183" s="48"/>
      <c r="D183" s="38"/>
      <c r="E183" s="48"/>
      <c r="F183" s="38"/>
      <c r="G183" s="38"/>
      <c r="H183" s="38"/>
      <c r="I183" s="38"/>
      <c r="J183" s="38"/>
      <c r="K183" s="38"/>
      <c r="L183" s="38"/>
      <c r="M183" s="38"/>
      <c r="N183" s="38"/>
      <c r="O183" s="38"/>
      <c r="P183" s="38"/>
      <c r="Q183" s="38"/>
      <c r="R183" s="203"/>
      <c r="S183" s="203"/>
      <c r="T183" s="203"/>
      <c r="U183" s="203"/>
      <c r="V183" s="38"/>
      <c r="W183" s="38"/>
      <c r="X183" s="38"/>
      <c r="Y183" s="38"/>
      <c r="Z183" s="38"/>
      <c r="AA183" s="38"/>
      <c r="AB183" s="38"/>
      <c r="AC183" s="38"/>
      <c r="AD183" s="38"/>
      <c r="AE183" s="38"/>
      <c r="AF183" s="38"/>
      <c r="AG183" s="38"/>
      <c r="AH183" s="38"/>
      <c r="AI183" s="38"/>
      <c r="AJ183" s="38"/>
      <c r="AK183" s="48"/>
      <c r="AL183" s="38"/>
      <c r="AM183" s="38"/>
      <c r="AN183" s="38"/>
      <c r="AO183" s="38"/>
      <c r="AP183" s="38"/>
      <c r="AQ183" s="38"/>
      <c r="AR183" s="38"/>
      <c r="AS183" s="38"/>
      <c r="AT183" s="38"/>
      <c r="AU183" s="48"/>
    </row>
    <row r="184" ht="15.75" customHeight="1">
      <c r="A184" s="33"/>
      <c r="B184" s="38"/>
      <c r="C184" s="48"/>
      <c r="D184" s="38"/>
      <c r="E184" s="48"/>
      <c r="F184" s="38"/>
      <c r="G184" s="38"/>
      <c r="H184" s="38"/>
      <c r="I184" s="38"/>
      <c r="J184" s="38"/>
      <c r="K184" s="38"/>
      <c r="L184" s="38"/>
      <c r="M184" s="38"/>
      <c r="N184" s="38"/>
      <c r="O184" s="38"/>
      <c r="P184" s="38"/>
      <c r="Q184" s="38"/>
      <c r="R184" s="203"/>
      <c r="S184" s="203"/>
      <c r="T184" s="203"/>
      <c r="U184" s="203"/>
      <c r="V184" s="38"/>
      <c r="W184" s="38"/>
      <c r="X184" s="38"/>
      <c r="Y184" s="38"/>
      <c r="Z184" s="38"/>
      <c r="AA184" s="38"/>
      <c r="AB184" s="38"/>
      <c r="AC184" s="38"/>
      <c r="AD184" s="38"/>
      <c r="AE184" s="38"/>
      <c r="AF184" s="38"/>
      <c r="AG184" s="38"/>
      <c r="AH184" s="38"/>
      <c r="AI184" s="38"/>
      <c r="AJ184" s="38"/>
      <c r="AK184" s="48"/>
      <c r="AL184" s="38"/>
      <c r="AM184" s="38"/>
      <c r="AN184" s="38"/>
      <c r="AO184" s="38"/>
      <c r="AP184" s="38"/>
      <c r="AQ184" s="38"/>
      <c r="AR184" s="38"/>
      <c r="AS184" s="38"/>
      <c r="AT184" s="38"/>
      <c r="AU184" s="48"/>
    </row>
    <row r="185" ht="15.75" customHeight="1">
      <c r="A185" s="170" t="s">
        <v>2176</v>
      </c>
      <c r="B185" s="38">
        <v>1.0</v>
      </c>
      <c r="C185" s="48"/>
      <c r="D185" s="173" t="s">
        <v>305</v>
      </c>
      <c r="E185" s="173"/>
      <c r="F185" s="299" t="s">
        <v>2177</v>
      </c>
      <c r="G185" s="180"/>
      <c r="H185" s="180"/>
      <c r="I185" s="38"/>
      <c r="J185" s="38"/>
      <c r="K185" s="299" t="s">
        <v>1553</v>
      </c>
      <c r="L185" s="180"/>
      <c r="M185" s="180"/>
      <c r="N185" s="180"/>
      <c r="O185" s="38"/>
      <c r="P185" s="235"/>
      <c r="Q185" s="38"/>
      <c r="R185" s="203"/>
      <c r="S185" s="203"/>
      <c r="T185" s="203"/>
      <c r="U185" s="203"/>
      <c r="V185" s="299" t="s">
        <v>1553</v>
      </c>
      <c r="W185" s="180"/>
      <c r="X185" s="180"/>
      <c r="Y185" s="180"/>
      <c r="Z185" s="38"/>
      <c r="AA185" s="299" t="s">
        <v>2021</v>
      </c>
      <c r="AB185" s="180"/>
      <c r="AC185" s="180"/>
      <c r="AD185" s="38"/>
      <c r="AE185" s="235"/>
      <c r="AF185" s="299" t="s">
        <v>2021</v>
      </c>
      <c r="AG185" s="180"/>
      <c r="AH185" s="180"/>
      <c r="AI185" s="38"/>
      <c r="AJ185" s="38"/>
      <c r="AK185" s="48"/>
      <c r="AL185" s="38"/>
      <c r="AM185" s="38"/>
      <c r="AN185" s="38"/>
      <c r="AO185" s="38"/>
      <c r="AP185" s="38"/>
      <c r="AQ185" s="38"/>
      <c r="AR185" s="38"/>
      <c r="AS185" s="38"/>
      <c r="AT185" s="38"/>
      <c r="AU185" s="48"/>
    </row>
    <row r="186" ht="15.75" customHeight="1">
      <c r="A186" s="381" t="s">
        <v>2158</v>
      </c>
      <c r="B186" s="38">
        <v>2.0</v>
      </c>
      <c r="C186" s="48"/>
      <c r="D186" s="38"/>
      <c r="E186" s="48"/>
      <c r="F186" s="7" t="s">
        <v>2133</v>
      </c>
      <c r="G186" s="38"/>
      <c r="I186" s="352" t="s">
        <v>2177</v>
      </c>
      <c r="J186" s="177"/>
      <c r="K186" s="7" t="s">
        <v>2041</v>
      </c>
      <c r="L186" s="38"/>
      <c r="N186" s="351"/>
      <c r="O186" s="352" t="s">
        <v>1553</v>
      </c>
      <c r="P186" s="177"/>
      <c r="Q186" s="112"/>
      <c r="R186" s="203"/>
      <c r="S186" s="203"/>
      <c r="T186" s="203"/>
      <c r="U186" s="203"/>
      <c r="V186" s="7" t="s">
        <v>2041</v>
      </c>
      <c r="W186" s="38"/>
      <c r="Y186" s="351"/>
      <c r="Z186" s="352" t="s">
        <v>1553</v>
      </c>
      <c r="AA186" s="7" t="s">
        <v>2178</v>
      </c>
      <c r="AB186" s="38"/>
      <c r="AD186" s="352" t="s">
        <v>2021</v>
      </c>
      <c r="AE186" s="177"/>
      <c r="AF186" s="7" t="s">
        <v>1998</v>
      </c>
      <c r="AG186" s="38"/>
      <c r="AI186" s="352" t="s">
        <v>2021</v>
      </c>
      <c r="AJ186" s="177"/>
      <c r="AK186" s="382"/>
      <c r="AL186" s="38"/>
      <c r="AM186" s="38"/>
      <c r="AN186" s="38"/>
      <c r="AO186" s="38"/>
      <c r="AP186" s="38"/>
      <c r="AQ186" s="38"/>
      <c r="AR186" s="38"/>
      <c r="AS186" s="38"/>
      <c r="AT186" s="38"/>
      <c r="AU186" s="48"/>
    </row>
    <row r="187" ht="15.75" customHeight="1">
      <c r="A187" s="7" t="s">
        <v>2179</v>
      </c>
      <c r="B187" s="38">
        <v>3.0</v>
      </c>
      <c r="C187" s="48"/>
      <c r="D187" s="38"/>
      <c r="E187" s="48"/>
      <c r="F187" s="38"/>
      <c r="G187" s="38"/>
      <c r="H187" s="38"/>
      <c r="I187" s="38"/>
      <c r="J187" s="38"/>
      <c r="K187" s="38"/>
      <c r="L187" s="38"/>
      <c r="M187" s="38"/>
      <c r="N187" s="38"/>
      <c r="O187" s="38"/>
      <c r="P187" s="38"/>
      <c r="Q187" s="38"/>
      <c r="R187" s="203"/>
      <c r="S187" s="203"/>
      <c r="T187" s="203"/>
      <c r="U187" s="203"/>
      <c r="V187" s="38"/>
      <c r="W187" s="38"/>
      <c r="X187" s="38"/>
      <c r="Y187" s="38"/>
      <c r="Z187" s="38"/>
      <c r="AA187" s="38"/>
      <c r="AB187" s="38"/>
      <c r="AC187" s="38"/>
      <c r="AD187" s="38"/>
      <c r="AE187" s="38"/>
      <c r="AF187" s="38"/>
      <c r="AG187" s="38"/>
      <c r="AH187" s="38"/>
      <c r="AI187" s="38"/>
      <c r="AJ187" s="38"/>
      <c r="AK187" s="48"/>
      <c r="AL187" s="38"/>
      <c r="AM187" s="38"/>
      <c r="AN187" s="38"/>
      <c r="AO187" s="38"/>
      <c r="AP187" s="38"/>
      <c r="AQ187" s="38"/>
      <c r="AR187" s="38"/>
      <c r="AS187" s="38"/>
      <c r="AT187" s="38"/>
      <c r="AU187" s="48"/>
    </row>
    <row r="188" ht="15.75" customHeight="1">
      <c r="A188" s="7" t="s">
        <v>2180</v>
      </c>
      <c r="B188" s="38">
        <v>4.0</v>
      </c>
      <c r="C188" s="48"/>
      <c r="D188" s="38"/>
      <c r="E188" s="48"/>
      <c r="F188" s="38"/>
      <c r="G188" s="38"/>
      <c r="H188" s="38"/>
      <c r="I188" s="38"/>
      <c r="J188" s="38"/>
      <c r="K188" s="38"/>
      <c r="L188" s="38"/>
      <c r="M188" s="38"/>
      <c r="N188" s="38"/>
      <c r="O188" s="38"/>
      <c r="P188" s="38"/>
      <c r="Q188" s="38"/>
      <c r="R188" s="203"/>
      <c r="S188" s="203"/>
      <c r="T188" s="203"/>
      <c r="U188" s="203"/>
      <c r="V188" s="38"/>
      <c r="W188" s="38"/>
      <c r="X188" s="38"/>
      <c r="Y188" s="38"/>
      <c r="Z188" s="38"/>
      <c r="AA188" s="38"/>
      <c r="AB188" s="38"/>
      <c r="AC188" s="38"/>
      <c r="AD188" s="38"/>
      <c r="AE188" s="38"/>
      <c r="AF188" s="38"/>
      <c r="AG188" s="38"/>
      <c r="AH188" s="38"/>
      <c r="AI188" s="38"/>
      <c r="AJ188" s="38"/>
      <c r="AK188" s="48"/>
      <c r="AL188" s="38"/>
      <c r="AM188" s="38"/>
      <c r="AN188" s="38"/>
      <c r="AO188" s="38"/>
      <c r="AP188" s="38"/>
      <c r="AQ188" s="38"/>
      <c r="AR188" s="38"/>
      <c r="AS188" s="38"/>
      <c r="AT188" s="38"/>
      <c r="AU188" s="48"/>
    </row>
    <row r="189" ht="15.75" customHeight="1">
      <c r="A189" s="47"/>
      <c r="B189" s="38">
        <v>5.0</v>
      </c>
      <c r="C189" s="48"/>
      <c r="D189" s="38"/>
      <c r="E189" s="48"/>
      <c r="F189" s="38"/>
      <c r="G189" s="38"/>
      <c r="H189" s="38"/>
      <c r="I189" s="38"/>
      <c r="J189" s="38"/>
      <c r="K189" s="38"/>
      <c r="L189" s="38"/>
      <c r="M189" s="38"/>
      <c r="N189" s="38"/>
      <c r="O189" s="38"/>
      <c r="P189" s="38"/>
      <c r="Q189" s="38"/>
      <c r="R189" s="203"/>
      <c r="S189" s="203"/>
      <c r="T189" s="203"/>
      <c r="U189" s="203"/>
      <c r="V189" s="38"/>
      <c r="W189" s="38"/>
      <c r="X189" s="38"/>
      <c r="Y189" s="38"/>
      <c r="Z189" s="38"/>
      <c r="AA189" s="38"/>
      <c r="AB189" s="38"/>
      <c r="AC189" s="38"/>
      <c r="AD189" s="38"/>
      <c r="AE189" s="38"/>
      <c r="AF189" s="38"/>
      <c r="AG189" s="38"/>
      <c r="AH189" s="38"/>
      <c r="AI189" s="38"/>
      <c r="AJ189" s="38"/>
      <c r="AK189" s="48"/>
      <c r="AL189" s="38"/>
      <c r="AM189" s="38"/>
      <c r="AN189" s="38"/>
      <c r="AO189" s="38"/>
      <c r="AP189" s="38"/>
      <c r="AQ189" s="38"/>
      <c r="AR189" s="38"/>
      <c r="AS189" s="38"/>
      <c r="AT189" s="38"/>
      <c r="AU189" s="48"/>
    </row>
    <row r="190" ht="15.75" customHeight="1">
      <c r="A190" s="33"/>
      <c r="B190" s="38">
        <v>6.0</v>
      </c>
      <c r="C190" s="48"/>
      <c r="D190" s="38"/>
      <c r="E190" s="48"/>
      <c r="F190" s="38"/>
      <c r="G190" s="38"/>
      <c r="H190" s="38"/>
      <c r="I190" s="38"/>
      <c r="J190" s="38"/>
      <c r="K190" s="38"/>
      <c r="L190" s="38"/>
      <c r="M190" s="38"/>
      <c r="N190" s="38"/>
      <c r="O190" s="38"/>
      <c r="P190" s="38"/>
      <c r="Q190" s="38"/>
      <c r="R190" s="203"/>
      <c r="S190" s="203"/>
      <c r="T190" s="203"/>
      <c r="U190" s="203"/>
      <c r="V190" s="38"/>
      <c r="W190" s="38"/>
      <c r="X190" s="38"/>
      <c r="Y190" s="38"/>
      <c r="Z190" s="38"/>
      <c r="AA190" s="38"/>
      <c r="AB190" s="38"/>
      <c r="AC190" s="38"/>
      <c r="AD190" s="38"/>
      <c r="AE190" s="38"/>
      <c r="AF190" s="38"/>
      <c r="AG190" s="38"/>
      <c r="AH190" s="38"/>
      <c r="AI190" s="38"/>
      <c r="AJ190" s="38"/>
      <c r="AK190" s="48"/>
      <c r="AL190" s="38"/>
      <c r="AM190" s="38"/>
      <c r="AN190" s="38"/>
      <c r="AO190" s="38"/>
      <c r="AP190" s="38"/>
      <c r="AQ190" s="38"/>
      <c r="AR190" s="38"/>
      <c r="AS190" s="38"/>
      <c r="AT190" s="38"/>
      <c r="AU190" s="48"/>
    </row>
    <row r="191" ht="15.75" customHeight="1">
      <c r="A191" s="33"/>
      <c r="B191" s="38">
        <v>7.0</v>
      </c>
      <c r="C191" s="48"/>
      <c r="D191" s="38"/>
      <c r="E191" s="48"/>
      <c r="F191" s="38"/>
      <c r="G191" s="38"/>
      <c r="H191" s="38"/>
      <c r="I191" s="38"/>
      <c r="J191" s="38"/>
      <c r="K191" s="38"/>
      <c r="L191" s="38"/>
      <c r="M191" s="38"/>
      <c r="N191" s="38"/>
      <c r="O191" s="38"/>
      <c r="P191" s="38"/>
      <c r="Q191" s="38"/>
      <c r="R191" s="203"/>
      <c r="S191" s="203"/>
      <c r="T191" s="203"/>
      <c r="U191" s="203"/>
      <c r="V191" s="38"/>
      <c r="W191" s="38"/>
      <c r="X191" s="38"/>
      <c r="Y191" s="38"/>
      <c r="Z191" s="38"/>
      <c r="AA191" s="38"/>
      <c r="AB191" s="38"/>
      <c r="AC191" s="38"/>
      <c r="AD191" s="38"/>
      <c r="AE191" s="38"/>
      <c r="AF191" s="38"/>
      <c r="AG191" s="38"/>
      <c r="AH191" s="38"/>
      <c r="AI191" s="38"/>
      <c r="AJ191" s="38"/>
      <c r="AK191" s="48"/>
      <c r="AL191" s="38"/>
      <c r="AM191" s="38"/>
      <c r="AN191" s="38"/>
      <c r="AO191" s="38"/>
      <c r="AP191" s="38"/>
      <c r="AQ191" s="38"/>
      <c r="AR191" s="38"/>
      <c r="AS191" s="38"/>
      <c r="AT191" s="38"/>
      <c r="AU191" s="48"/>
    </row>
    <row r="192" ht="15.75" customHeight="1">
      <c r="A192" s="33"/>
      <c r="B192" s="38"/>
      <c r="C192" s="48"/>
      <c r="D192" s="38"/>
      <c r="E192" s="48"/>
      <c r="F192" s="38"/>
      <c r="G192" s="38"/>
      <c r="H192" s="38"/>
      <c r="I192" s="38"/>
      <c r="J192" s="38"/>
      <c r="K192" s="38"/>
      <c r="L192" s="38"/>
      <c r="M192" s="38"/>
      <c r="N192" s="38"/>
      <c r="O192" s="38"/>
      <c r="P192" s="38"/>
      <c r="Q192" s="38"/>
      <c r="R192" s="203"/>
      <c r="S192" s="203"/>
      <c r="T192" s="203"/>
      <c r="U192" s="203"/>
      <c r="V192" s="38"/>
      <c r="W192" s="38"/>
      <c r="X192" s="38"/>
      <c r="Y192" s="38"/>
      <c r="Z192" s="38"/>
      <c r="AA192" s="38"/>
      <c r="AB192" s="38"/>
      <c r="AC192" s="38"/>
      <c r="AD192" s="38"/>
      <c r="AE192" s="38"/>
      <c r="AF192" s="38"/>
      <c r="AG192" s="38"/>
      <c r="AH192" s="38"/>
      <c r="AI192" s="38"/>
      <c r="AJ192" s="38"/>
      <c r="AK192" s="48"/>
      <c r="AL192" s="38"/>
      <c r="AM192" s="38"/>
      <c r="AN192" s="38"/>
      <c r="AO192" s="38"/>
      <c r="AP192" s="38"/>
      <c r="AQ192" s="38"/>
      <c r="AR192" s="38"/>
      <c r="AS192" s="38"/>
      <c r="AT192" s="38"/>
      <c r="AU192" s="48"/>
    </row>
    <row r="193" ht="15.75" customHeight="1">
      <c r="A193" s="170" t="s">
        <v>2181</v>
      </c>
      <c r="B193" s="38">
        <v>1.0</v>
      </c>
      <c r="C193" s="48"/>
      <c r="D193" s="173" t="s">
        <v>305</v>
      </c>
      <c r="E193" s="173"/>
      <c r="F193" s="383" t="s">
        <v>2182</v>
      </c>
      <c r="G193" s="384"/>
      <c r="H193" s="384"/>
      <c r="I193" s="384"/>
      <c r="J193" s="384"/>
      <c r="K193" s="384"/>
      <c r="L193" s="384"/>
      <c r="M193" s="384"/>
      <c r="N193" s="384"/>
      <c r="O193" s="384"/>
      <c r="P193" s="384"/>
      <c r="Q193" s="385"/>
      <c r="R193" s="203"/>
      <c r="S193" s="203"/>
      <c r="T193" s="203"/>
      <c r="U193" s="203"/>
      <c r="V193" s="383" t="s">
        <v>2182</v>
      </c>
      <c r="W193" s="384"/>
      <c r="X193" s="384"/>
      <c r="Y193" s="384"/>
      <c r="Z193" s="384"/>
      <c r="AA193" s="384"/>
      <c r="AB193" s="384"/>
      <c r="AC193" s="384"/>
      <c r="AD193" s="384"/>
      <c r="AE193" s="384"/>
      <c r="AF193" s="384"/>
      <c r="AG193" s="385"/>
      <c r="AH193" s="38"/>
      <c r="AI193" s="38"/>
      <c r="AJ193" s="38"/>
      <c r="AK193" s="48"/>
      <c r="AL193" s="38"/>
      <c r="AM193" s="38"/>
      <c r="AN193" s="38"/>
      <c r="AO193" s="38"/>
      <c r="AP193" s="38"/>
      <c r="AQ193" s="38"/>
      <c r="AR193" s="38"/>
      <c r="AS193" s="38"/>
      <c r="AT193" s="38"/>
      <c r="AU193" s="48"/>
    </row>
    <row r="194" ht="15.75" customHeight="1">
      <c r="A194" s="231" t="s">
        <v>2182</v>
      </c>
      <c r="B194" s="38">
        <v>2.0</v>
      </c>
      <c r="C194" s="48"/>
      <c r="D194" s="38"/>
      <c r="E194" s="48"/>
      <c r="F194" s="38"/>
      <c r="G194" s="38"/>
      <c r="H194" s="38"/>
      <c r="I194" s="38"/>
      <c r="J194" s="38"/>
      <c r="K194" s="38"/>
      <c r="L194" s="38"/>
      <c r="M194" s="38"/>
      <c r="N194" s="38"/>
      <c r="O194" s="38"/>
      <c r="P194" s="38"/>
      <c r="Q194" s="38"/>
      <c r="R194" s="203"/>
      <c r="S194" s="203"/>
      <c r="T194" s="203"/>
      <c r="U194" s="203"/>
      <c r="V194" s="38"/>
      <c r="W194" s="38"/>
      <c r="X194" s="38"/>
      <c r="Y194" s="38"/>
      <c r="Z194" s="38"/>
      <c r="AA194" s="38"/>
      <c r="AB194" s="38"/>
      <c r="AC194" s="38"/>
      <c r="AD194" s="38"/>
      <c r="AE194" s="38"/>
      <c r="AF194" s="38"/>
      <c r="AG194" s="38"/>
      <c r="AH194" s="38"/>
      <c r="AI194" s="38"/>
      <c r="AJ194" s="38"/>
      <c r="AK194" s="48"/>
      <c r="AL194" s="38"/>
      <c r="AM194" s="38"/>
      <c r="AN194" s="38"/>
      <c r="AO194" s="38"/>
      <c r="AP194" s="38"/>
      <c r="AQ194" s="38"/>
      <c r="AR194" s="38"/>
      <c r="AS194" s="38"/>
      <c r="AT194" s="38"/>
      <c r="AU194" s="48"/>
    </row>
    <row r="195" ht="15.75" customHeight="1">
      <c r="B195" s="38">
        <v>3.0</v>
      </c>
      <c r="C195" s="48"/>
      <c r="D195" s="38"/>
      <c r="E195" s="48"/>
      <c r="F195" s="38"/>
      <c r="G195" s="38"/>
      <c r="H195" s="38"/>
      <c r="I195" s="38"/>
      <c r="J195" s="38"/>
      <c r="K195" s="38"/>
      <c r="L195" s="38"/>
      <c r="M195" s="38"/>
      <c r="N195" s="38"/>
      <c r="O195" s="38"/>
      <c r="P195" s="38"/>
      <c r="Q195" s="38"/>
      <c r="R195" s="203"/>
      <c r="S195" s="203"/>
      <c r="T195" s="203"/>
      <c r="U195" s="203"/>
      <c r="V195" s="38"/>
      <c r="W195" s="38"/>
      <c r="X195" s="38"/>
      <c r="Y195" s="38"/>
      <c r="Z195" s="38"/>
      <c r="AA195" s="38"/>
      <c r="AB195" s="38"/>
      <c r="AC195" s="38"/>
      <c r="AD195" s="38"/>
      <c r="AE195" s="38"/>
      <c r="AF195" s="38"/>
      <c r="AG195" s="38"/>
      <c r="AH195" s="38"/>
      <c r="AI195" s="38"/>
      <c r="AJ195" s="38"/>
      <c r="AK195" s="48"/>
      <c r="AL195" s="38"/>
      <c r="AM195" s="38"/>
      <c r="AN195" s="38"/>
      <c r="AO195" s="38"/>
      <c r="AP195" s="38"/>
      <c r="AQ195" s="38"/>
      <c r="AR195" s="38"/>
      <c r="AS195" s="38"/>
      <c r="AT195" s="38"/>
      <c r="AU195" s="48"/>
    </row>
    <row r="196" ht="15.75" customHeight="1">
      <c r="A196" s="33"/>
      <c r="B196" s="38">
        <v>4.0</v>
      </c>
      <c r="C196" s="48"/>
      <c r="D196" s="38"/>
      <c r="E196" s="48"/>
      <c r="F196" s="38"/>
      <c r="G196" s="38"/>
      <c r="H196" s="38"/>
      <c r="I196" s="38"/>
      <c r="J196" s="38"/>
      <c r="K196" s="38"/>
      <c r="L196" s="38"/>
      <c r="M196" s="38"/>
      <c r="N196" s="38"/>
      <c r="O196" s="38"/>
      <c r="P196" s="38"/>
      <c r="Q196" s="38"/>
      <c r="R196" s="203"/>
      <c r="S196" s="203"/>
      <c r="T196" s="203"/>
      <c r="U196" s="203"/>
      <c r="V196" s="38"/>
      <c r="W196" s="38"/>
      <c r="X196" s="38"/>
      <c r="Y196" s="38"/>
      <c r="Z196" s="38"/>
      <c r="AA196" s="38"/>
      <c r="AB196" s="38"/>
      <c r="AC196" s="38"/>
      <c r="AD196" s="38"/>
      <c r="AE196" s="38"/>
      <c r="AF196" s="38"/>
      <c r="AG196" s="38"/>
      <c r="AH196" s="38"/>
      <c r="AI196" s="38"/>
      <c r="AJ196" s="38"/>
      <c r="AK196" s="48"/>
      <c r="AL196" s="38"/>
      <c r="AM196" s="38"/>
      <c r="AN196" s="38"/>
      <c r="AO196" s="38"/>
      <c r="AP196" s="38"/>
      <c r="AQ196" s="38"/>
      <c r="AR196" s="38"/>
      <c r="AS196" s="38"/>
      <c r="AT196" s="38"/>
      <c r="AU196" s="48"/>
    </row>
    <row r="197" ht="15.75" customHeight="1">
      <c r="B197" s="38">
        <v>5.0</v>
      </c>
      <c r="C197" s="48"/>
      <c r="D197" s="38"/>
      <c r="E197" s="48"/>
      <c r="F197" s="38"/>
      <c r="G197" s="38"/>
      <c r="H197" s="38"/>
      <c r="I197" s="38"/>
      <c r="J197" s="38"/>
      <c r="K197" s="38"/>
      <c r="L197" s="38"/>
      <c r="M197" s="38"/>
      <c r="N197" s="38"/>
      <c r="O197" s="38"/>
      <c r="P197" s="38"/>
      <c r="Q197" s="38"/>
      <c r="R197" s="203"/>
      <c r="S197" s="203"/>
      <c r="T197" s="203"/>
      <c r="U197" s="203"/>
      <c r="V197" s="38"/>
      <c r="W197" s="38"/>
      <c r="X197" s="38"/>
      <c r="Y197" s="38"/>
      <c r="Z197" s="38"/>
      <c r="AA197" s="38"/>
      <c r="AB197" s="38"/>
      <c r="AC197" s="38"/>
      <c r="AD197" s="38"/>
      <c r="AE197" s="38"/>
      <c r="AF197" s="38"/>
      <c r="AG197" s="38"/>
      <c r="AH197" s="38"/>
      <c r="AI197" s="38"/>
      <c r="AJ197" s="38"/>
      <c r="AK197" s="48"/>
      <c r="AL197" s="38"/>
      <c r="AM197" s="38"/>
      <c r="AN197" s="38"/>
      <c r="AO197" s="38"/>
      <c r="AP197" s="38"/>
      <c r="AQ197" s="38"/>
      <c r="AR197" s="38"/>
      <c r="AS197" s="38"/>
      <c r="AT197" s="38"/>
      <c r="AU197" s="48"/>
    </row>
    <row r="198" ht="15.75" customHeight="1">
      <c r="B198" s="38">
        <v>6.0</v>
      </c>
      <c r="C198" s="48"/>
      <c r="D198" s="38"/>
      <c r="E198" s="48"/>
      <c r="F198" s="38"/>
      <c r="G198" s="38"/>
      <c r="H198" s="38"/>
      <c r="I198" s="38"/>
      <c r="J198" s="38"/>
      <c r="K198" s="38"/>
      <c r="L198" s="38"/>
      <c r="M198" s="38"/>
      <c r="N198" s="38"/>
      <c r="O198" s="38"/>
      <c r="P198" s="38"/>
      <c r="Q198" s="38"/>
      <c r="R198" s="203"/>
      <c r="S198" s="203"/>
      <c r="T198" s="203"/>
      <c r="U198" s="203"/>
      <c r="V198" s="38"/>
      <c r="W198" s="38"/>
      <c r="X198" s="38"/>
      <c r="Y198" s="38"/>
      <c r="Z198" s="38"/>
      <c r="AA198" s="38"/>
      <c r="AB198" s="38"/>
      <c r="AC198" s="38"/>
      <c r="AD198" s="38"/>
      <c r="AE198" s="38"/>
      <c r="AF198" s="38"/>
      <c r="AG198" s="38"/>
      <c r="AH198" s="38"/>
      <c r="AI198" s="38"/>
      <c r="AJ198" s="38"/>
      <c r="AK198" s="48"/>
      <c r="AL198" s="38"/>
      <c r="AM198" s="38"/>
      <c r="AN198" s="38"/>
      <c r="AO198" s="38"/>
      <c r="AP198" s="38"/>
      <c r="AQ198" s="38"/>
      <c r="AR198" s="38"/>
      <c r="AS198" s="38"/>
      <c r="AT198" s="38"/>
      <c r="AU198" s="48"/>
    </row>
    <row r="199" ht="15.75" customHeight="1">
      <c r="A199" s="33"/>
      <c r="B199" s="38">
        <v>7.0</v>
      </c>
      <c r="C199" s="48"/>
      <c r="D199" s="38"/>
      <c r="E199" s="48"/>
      <c r="F199" s="38"/>
      <c r="G199" s="38"/>
      <c r="H199" s="38"/>
      <c r="I199" s="38"/>
      <c r="J199" s="38"/>
      <c r="K199" s="38"/>
      <c r="L199" s="38"/>
      <c r="M199" s="38"/>
      <c r="N199" s="38"/>
      <c r="O199" s="38"/>
      <c r="P199" s="38"/>
      <c r="Q199" s="38"/>
      <c r="R199" s="203"/>
      <c r="S199" s="203"/>
      <c r="T199" s="203"/>
      <c r="U199" s="203"/>
      <c r="V199" s="38"/>
      <c r="W199" s="38"/>
      <c r="X199" s="38"/>
      <c r="Y199" s="38"/>
      <c r="Z199" s="38"/>
      <c r="AA199" s="38"/>
      <c r="AB199" s="38"/>
      <c r="AC199" s="38"/>
      <c r="AD199" s="38"/>
      <c r="AE199" s="38"/>
      <c r="AF199" s="38"/>
      <c r="AG199" s="38"/>
      <c r="AH199" s="38"/>
      <c r="AI199" s="38"/>
      <c r="AJ199" s="38"/>
      <c r="AK199" s="48"/>
      <c r="AL199" s="38"/>
      <c r="AM199" s="38"/>
      <c r="AN199" s="38"/>
      <c r="AO199" s="38"/>
      <c r="AP199" s="38"/>
      <c r="AQ199" s="38"/>
      <c r="AR199" s="38"/>
      <c r="AS199" s="38"/>
      <c r="AT199" s="38"/>
      <c r="AU199" s="48"/>
    </row>
    <row r="200" ht="15.75" customHeight="1">
      <c r="A200" s="33"/>
      <c r="B200" s="38"/>
      <c r="C200" s="48"/>
      <c r="D200" s="38"/>
      <c r="E200" s="48"/>
      <c r="F200" s="38"/>
      <c r="G200" s="38"/>
      <c r="H200" s="38"/>
      <c r="I200" s="38"/>
      <c r="J200" s="38"/>
      <c r="K200" s="38"/>
      <c r="L200" s="38"/>
      <c r="M200" s="38"/>
      <c r="N200" s="38"/>
      <c r="O200" s="38"/>
      <c r="P200" s="38"/>
      <c r="Q200" s="38"/>
      <c r="R200" s="203"/>
      <c r="S200" s="203"/>
      <c r="T200" s="203"/>
      <c r="U200" s="203"/>
      <c r="V200" s="38"/>
      <c r="W200" s="38"/>
      <c r="X200" s="38"/>
      <c r="Y200" s="38"/>
      <c r="Z200" s="38"/>
      <c r="AA200" s="38"/>
      <c r="AB200" s="38"/>
      <c r="AC200" s="38"/>
      <c r="AD200" s="38"/>
      <c r="AE200" s="38"/>
      <c r="AF200" s="38"/>
      <c r="AG200" s="38"/>
      <c r="AH200" s="38"/>
      <c r="AI200" s="38"/>
      <c r="AJ200" s="38"/>
      <c r="AK200" s="48"/>
      <c r="AL200" s="38"/>
      <c r="AM200" s="38"/>
      <c r="AN200" s="38"/>
      <c r="AO200" s="38"/>
      <c r="AP200" s="38"/>
      <c r="AQ200" s="38"/>
      <c r="AR200" s="38"/>
      <c r="AS200" s="38"/>
      <c r="AT200" s="38"/>
      <c r="AU200" s="48"/>
    </row>
    <row r="201" ht="15.75" customHeight="1">
      <c r="A201" s="170" t="s">
        <v>2183</v>
      </c>
      <c r="B201" s="38">
        <v>1.0</v>
      </c>
      <c r="C201" s="48"/>
      <c r="D201" s="173" t="s">
        <v>305</v>
      </c>
      <c r="E201" s="173"/>
      <c r="F201" s="383" t="s">
        <v>2182</v>
      </c>
      <c r="G201" s="384"/>
      <c r="H201" s="384"/>
      <c r="I201" s="384"/>
      <c r="J201" s="384"/>
      <c r="K201" s="384"/>
      <c r="L201" s="384"/>
      <c r="M201" s="384"/>
      <c r="N201" s="384"/>
      <c r="O201" s="384"/>
      <c r="P201" s="384"/>
      <c r="Q201" s="385"/>
      <c r="R201" s="203"/>
      <c r="S201" s="203"/>
      <c r="T201" s="203"/>
      <c r="U201" s="203"/>
      <c r="V201" s="383" t="s">
        <v>2182</v>
      </c>
      <c r="W201" s="384"/>
      <c r="X201" s="384"/>
      <c r="Y201" s="384"/>
      <c r="Z201" s="384"/>
      <c r="AA201" s="384"/>
      <c r="AB201" s="384"/>
      <c r="AC201" s="384"/>
      <c r="AD201" s="384"/>
      <c r="AE201" s="384"/>
      <c r="AF201" s="384"/>
      <c r="AG201" s="385"/>
      <c r="AH201" s="383"/>
      <c r="AI201" s="384"/>
      <c r="AJ201" s="384"/>
      <c r="AK201" s="384"/>
      <c r="AL201" s="384"/>
      <c r="AM201" s="384"/>
      <c r="AN201" s="384"/>
      <c r="AO201" s="384"/>
      <c r="AP201" s="384"/>
      <c r="AQ201" s="384"/>
      <c r="AR201" s="384"/>
      <c r="AS201" s="385"/>
      <c r="AT201" s="38"/>
      <c r="AU201" s="48"/>
    </row>
    <row r="202" ht="15.75" customHeight="1">
      <c r="A202" s="231" t="s">
        <v>2182</v>
      </c>
      <c r="B202" s="38">
        <v>2.0</v>
      </c>
      <c r="C202" s="48"/>
      <c r="D202" s="38"/>
      <c r="E202" s="48"/>
      <c r="F202" s="38"/>
      <c r="G202" s="38"/>
      <c r="H202" s="38"/>
      <c r="I202" s="38"/>
      <c r="J202" s="38"/>
      <c r="K202" s="38"/>
      <c r="L202" s="38"/>
      <c r="M202" s="38"/>
      <c r="N202" s="38"/>
      <c r="O202" s="38"/>
      <c r="P202" s="38"/>
      <c r="Q202" s="38"/>
      <c r="R202" s="203"/>
      <c r="S202" s="203"/>
      <c r="T202" s="203"/>
      <c r="U202" s="203"/>
      <c r="V202" s="38"/>
      <c r="W202" s="38"/>
      <c r="X202" s="38"/>
      <c r="Y202" s="38"/>
      <c r="Z202" s="38"/>
      <c r="AA202" s="38"/>
      <c r="AB202" s="38"/>
      <c r="AC202" s="38"/>
      <c r="AD202" s="38"/>
      <c r="AE202" s="38"/>
      <c r="AF202" s="38"/>
      <c r="AG202" s="38"/>
      <c r="AH202" s="38"/>
      <c r="AI202" s="38"/>
      <c r="AJ202" s="38"/>
      <c r="AK202" s="48"/>
      <c r="AL202" s="38"/>
      <c r="AM202" s="38"/>
      <c r="AN202" s="38"/>
      <c r="AO202" s="38"/>
      <c r="AP202" s="38"/>
      <c r="AQ202" s="38"/>
      <c r="AR202" s="38"/>
      <c r="AS202" s="38"/>
      <c r="AT202" s="38"/>
      <c r="AU202" s="48"/>
    </row>
    <row r="203" ht="15.75" customHeight="1">
      <c r="A203" s="33"/>
      <c r="B203" s="38">
        <v>3.0</v>
      </c>
      <c r="C203" s="48"/>
      <c r="D203" s="38"/>
      <c r="E203" s="48"/>
      <c r="F203" s="38"/>
      <c r="G203" s="38"/>
      <c r="H203" s="38"/>
      <c r="I203" s="38"/>
      <c r="J203" s="38"/>
      <c r="K203" s="38"/>
      <c r="L203" s="38"/>
      <c r="M203" s="38"/>
      <c r="N203" s="38"/>
      <c r="O203" s="38"/>
      <c r="P203" s="38"/>
      <c r="Q203" s="38"/>
      <c r="R203" s="203"/>
      <c r="S203" s="203"/>
      <c r="T203" s="203"/>
      <c r="U203" s="203"/>
      <c r="V203" s="38"/>
      <c r="W203" s="38"/>
      <c r="X203" s="38"/>
      <c r="Y203" s="38"/>
      <c r="Z203" s="38"/>
      <c r="AA203" s="38"/>
      <c r="AB203" s="38"/>
      <c r="AC203" s="38"/>
      <c r="AD203" s="38"/>
      <c r="AE203" s="38"/>
      <c r="AF203" s="38"/>
      <c r="AG203" s="38"/>
      <c r="AH203" s="38"/>
      <c r="AI203" s="38"/>
      <c r="AJ203" s="38"/>
      <c r="AK203" s="48"/>
      <c r="AL203" s="38"/>
      <c r="AM203" s="38"/>
      <c r="AN203" s="38"/>
      <c r="AO203" s="38"/>
      <c r="AP203" s="38"/>
      <c r="AQ203" s="38"/>
      <c r="AR203" s="38"/>
      <c r="AS203" s="38"/>
      <c r="AT203" s="38"/>
      <c r="AU203" s="48"/>
    </row>
    <row r="204" ht="15.75" customHeight="1">
      <c r="B204" s="38">
        <v>4.0</v>
      </c>
      <c r="C204" s="48"/>
      <c r="D204" s="38"/>
      <c r="E204" s="48"/>
      <c r="F204" s="38"/>
      <c r="G204" s="38"/>
      <c r="H204" s="38"/>
      <c r="I204" s="38"/>
      <c r="J204" s="38"/>
      <c r="K204" s="38"/>
      <c r="L204" s="38"/>
      <c r="M204" s="38"/>
      <c r="N204" s="38"/>
      <c r="O204" s="38"/>
      <c r="P204" s="38"/>
      <c r="Q204" s="38"/>
      <c r="R204" s="203"/>
      <c r="S204" s="203"/>
      <c r="T204" s="203"/>
      <c r="U204" s="203"/>
      <c r="V204" s="38"/>
      <c r="W204" s="38"/>
      <c r="X204" s="38"/>
      <c r="Y204" s="38"/>
      <c r="Z204" s="38"/>
      <c r="AA204" s="38"/>
      <c r="AB204" s="38"/>
      <c r="AC204" s="38"/>
      <c r="AD204" s="38"/>
      <c r="AE204" s="38"/>
      <c r="AF204" s="38"/>
      <c r="AG204" s="38"/>
      <c r="AH204" s="38"/>
      <c r="AI204" s="38"/>
      <c r="AJ204" s="38"/>
      <c r="AK204" s="48"/>
      <c r="AL204" s="38"/>
      <c r="AM204" s="38"/>
      <c r="AN204" s="38"/>
      <c r="AO204" s="38"/>
      <c r="AP204" s="38"/>
      <c r="AQ204" s="38"/>
      <c r="AR204" s="38"/>
      <c r="AS204" s="38"/>
      <c r="AT204" s="38"/>
      <c r="AU204" s="48"/>
    </row>
    <row r="205" ht="15.75" customHeight="1">
      <c r="A205" s="33"/>
      <c r="B205" s="38">
        <v>5.0</v>
      </c>
      <c r="C205" s="48"/>
      <c r="D205" s="38"/>
      <c r="E205" s="48"/>
      <c r="F205" s="38"/>
      <c r="G205" s="38"/>
      <c r="H205" s="38"/>
      <c r="I205" s="38"/>
      <c r="J205" s="38"/>
      <c r="K205" s="38"/>
      <c r="L205" s="38"/>
      <c r="M205" s="38"/>
      <c r="N205" s="38"/>
      <c r="O205" s="38"/>
      <c r="P205" s="38"/>
      <c r="Q205" s="38"/>
      <c r="R205" s="203"/>
      <c r="S205" s="203"/>
      <c r="T205" s="203"/>
      <c r="U205" s="203"/>
      <c r="V205" s="38"/>
      <c r="W205" s="38"/>
      <c r="X205" s="38"/>
      <c r="Y205" s="38"/>
      <c r="Z205" s="38"/>
      <c r="AA205" s="38"/>
      <c r="AB205" s="38"/>
      <c r="AC205" s="38"/>
      <c r="AD205" s="38"/>
      <c r="AE205" s="38"/>
      <c r="AF205" s="38"/>
      <c r="AG205" s="38"/>
      <c r="AH205" s="38"/>
      <c r="AI205" s="38"/>
      <c r="AJ205" s="38"/>
      <c r="AK205" s="48"/>
      <c r="AL205" s="38"/>
      <c r="AM205" s="38"/>
      <c r="AN205" s="38"/>
      <c r="AO205" s="38"/>
      <c r="AP205" s="38"/>
      <c r="AQ205" s="38"/>
      <c r="AR205" s="38"/>
      <c r="AS205" s="38"/>
      <c r="AT205" s="38"/>
      <c r="AU205" s="48"/>
    </row>
    <row r="206" ht="15.75" customHeight="1">
      <c r="A206" s="33"/>
      <c r="B206" s="38">
        <v>6.0</v>
      </c>
      <c r="C206" s="48"/>
      <c r="D206" s="38"/>
      <c r="E206" s="48"/>
      <c r="F206" s="38"/>
      <c r="G206" s="38"/>
      <c r="H206" s="38"/>
      <c r="I206" s="38"/>
      <c r="J206" s="38"/>
      <c r="K206" s="38"/>
      <c r="L206" s="38"/>
      <c r="M206" s="38"/>
      <c r="N206" s="38"/>
      <c r="O206" s="38"/>
      <c r="P206" s="38"/>
      <c r="Q206" s="38"/>
      <c r="R206" s="203"/>
      <c r="S206" s="203"/>
      <c r="T206" s="203"/>
      <c r="U206" s="203"/>
      <c r="V206" s="38"/>
      <c r="W206" s="38"/>
      <c r="X206" s="38"/>
      <c r="Y206" s="38"/>
      <c r="Z206" s="38"/>
      <c r="AA206" s="38"/>
      <c r="AB206" s="38"/>
      <c r="AC206" s="38"/>
      <c r="AD206" s="38"/>
      <c r="AE206" s="38"/>
      <c r="AF206" s="38"/>
      <c r="AG206" s="38"/>
      <c r="AH206" s="38"/>
      <c r="AI206" s="38"/>
      <c r="AJ206" s="38"/>
      <c r="AK206" s="48"/>
      <c r="AL206" s="38"/>
      <c r="AM206" s="38"/>
      <c r="AN206" s="38"/>
      <c r="AO206" s="38"/>
      <c r="AP206" s="38"/>
      <c r="AQ206" s="38"/>
      <c r="AR206" s="38"/>
      <c r="AS206" s="38"/>
      <c r="AT206" s="38"/>
      <c r="AU206" s="48"/>
    </row>
    <row r="207" ht="15.75" customHeight="1">
      <c r="A207" s="33"/>
      <c r="B207" s="38"/>
      <c r="C207" s="48"/>
      <c r="D207" s="38"/>
      <c r="E207" s="48"/>
      <c r="F207" s="38"/>
      <c r="G207" s="38"/>
      <c r="H207" s="38"/>
      <c r="I207" s="38"/>
      <c r="J207" s="38"/>
      <c r="K207" s="38"/>
      <c r="L207" s="38"/>
      <c r="M207" s="38"/>
      <c r="N207" s="38"/>
      <c r="O207" s="38"/>
      <c r="P207" s="38"/>
      <c r="Q207" s="38"/>
      <c r="R207" s="203"/>
      <c r="S207" s="203"/>
      <c r="T207" s="203"/>
      <c r="U207" s="203"/>
      <c r="V207" s="38"/>
      <c r="W207" s="38"/>
      <c r="X207" s="38"/>
      <c r="Y207" s="38"/>
      <c r="Z207" s="38"/>
      <c r="AA207" s="38"/>
      <c r="AB207" s="38"/>
      <c r="AC207" s="38"/>
      <c r="AD207" s="38"/>
      <c r="AE207" s="38"/>
      <c r="AF207" s="38"/>
      <c r="AG207" s="38"/>
      <c r="AH207" s="38"/>
      <c r="AI207" s="38"/>
      <c r="AJ207" s="38"/>
      <c r="AK207" s="48"/>
      <c r="AL207" s="38"/>
      <c r="AM207" s="38"/>
      <c r="AN207" s="38"/>
      <c r="AO207" s="38"/>
      <c r="AP207" s="38"/>
      <c r="AQ207" s="38"/>
      <c r="AR207" s="38"/>
      <c r="AS207" s="38"/>
      <c r="AT207" s="38"/>
      <c r="AU207" s="48"/>
    </row>
    <row r="208" ht="15.75" customHeight="1">
      <c r="A208" s="170" t="s">
        <v>2184</v>
      </c>
      <c r="B208" s="38">
        <v>1.0</v>
      </c>
      <c r="C208" s="48"/>
      <c r="D208" s="173" t="s">
        <v>305</v>
      </c>
      <c r="E208" s="173"/>
      <c r="F208" s="386" t="s">
        <v>2185</v>
      </c>
      <c r="G208" s="384"/>
      <c r="H208" s="384"/>
      <c r="I208" s="384"/>
      <c r="J208" s="384"/>
      <c r="K208" s="384"/>
      <c r="L208" s="384"/>
      <c r="M208" s="384"/>
      <c r="N208" s="384"/>
      <c r="O208" s="384"/>
      <c r="P208" s="384"/>
      <c r="Q208" s="385"/>
      <c r="R208" s="203"/>
      <c r="S208" s="203"/>
      <c r="T208" s="203"/>
      <c r="U208" s="203"/>
      <c r="V208" s="386" t="s">
        <v>2186</v>
      </c>
      <c r="W208" s="384"/>
      <c r="X208" s="384"/>
      <c r="Y208" s="384"/>
      <c r="Z208" s="384"/>
      <c r="AA208" s="384"/>
      <c r="AB208" s="384"/>
      <c r="AC208" s="384"/>
      <c r="AD208" s="384"/>
      <c r="AE208" s="384"/>
      <c r="AF208" s="384"/>
      <c r="AG208" s="385"/>
      <c r="AH208" s="38"/>
      <c r="AI208" s="38"/>
      <c r="AJ208" s="38"/>
      <c r="AK208" s="48"/>
      <c r="AL208" s="38"/>
      <c r="AM208" s="38"/>
      <c r="AN208" s="38"/>
      <c r="AO208" s="38"/>
      <c r="AP208" s="38"/>
      <c r="AQ208" s="38"/>
      <c r="AR208" s="38"/>
      <c r="AS208" s="38"/>
      <c r="AT208" s="38"/>
      <c r="AU208" s="48"/>
    </row>
    <row r="209" ht="15.75" customHeight="1">
      <c r="A209" s="381" t="s">
        <v>2187</v>
      </c>
      <c r="B209" s="38">
        <v>2.0</v>
      </c>
      <c r="C209" s="48"/>
      <c r="D209" s="38"/>
      <c r="E209" s="48"/>
      <c r="F209" s="38"/>
      <c r="G209" s="38"/>
      <c r="H209" s="38"/>
      <c r="I209" s="38"/>
      <c r="J209" s="38"/>
      <c r="K209" s="38"/>
      <c r="L209" s="38"/>
      <c r="M209" s="38"/>
      <c r="N209" s="38"/>
      <c r="O209" s="38"/>
      <c r="P209" s="38"/>
      <c r="Q209" s="38"/>
      <c r="R209" s="203"/>
      <c r="S209" s="203"/>
      <c r="T209" s="203"/>
      <c r="U209" s="203"/>
      <c r="V209" s="43" t="s">
        <v>2188</v>
      </c>
      <c r="W209" s="38"/>
      <c r="X209" s="38"/>
      <c r="Y209" s="38"/>
      <c r="Z209" s="38"/>
      <c r="AA209" s="38"/>
      <c r="AB209" s="38"/>
      <c r="AC209" s="38"/>
      <c r="AD209" s="38"/>
      <c r="AE209" s="38"/>
      <c r="AF209" s="38"/>
      <c r="AG209" s="38"/>
      <c r="AH209" s="38"/>
      <c r="AI209" s="38"/>
      <c r="AJ209" s="38"/>
      <c r="AK209" s="48"/>
      <c r="AL209" s="38"/>
      <c r="AM209" s="38"/>
      <c r="AN209" s="38"/>
      <c r="AO209" s="38"/>
      <c r="AP209" s="38"/>
      <c r="AQ209" s="38"/>
      <c r="AR209" s="38"/>
      <c r="AS209" s="38"/>
      <c r="AT209" s="38"/>
      <c r="AU209" s="48"/>
    </row>
    <row r="210" ht="15.75" customHeight="1">
      <c r="A210" s="33"/>
      <c r="B210" s="38">
        <v>3.0</v>
      </c>
      <c r="C210" s="48"/>
      <c r="D210" s="38"/>
      <c r="E210" s="48"/>
      <c r="F210" s="38"/>
      <c r="G210" s="38"/>
      <c r="H210" s="38"/>
      <c r="I210" s="38"/>
      <c r="J210" s="38"/>
      <c r="K210" s="38"/>
      <c r="L210" s="38"/>
      <c r="M210" s="38"/>
      <c r="N210" s="38"/>
      <c r="O210" s="38"/>
      <c r="P210" s="38"/>
      <c r="Q210" s="38"/>
      <c r="R210" s="203"/>
      <c r="S210" s="203"/>
      <c r="T210" s="203"/>
      <c r="U210" s="203"/>
      <c r="V210" s="38"/>
      <c r="W210" s="38"/>
      <c r="X210" s="38"/>
      <c r="Y210" s="38"/>
      <c r="Z210" s="38"/>
      <c r="AA210" s="38"/>
      <c r="AB210" s="38"/>
      <c r="AC210" s="38"/>
      <c r="AD210" s="38"/>
      <c r="AE210" s="38"/>
      <c r="AF210" s="38"/>
      <c r="AG210" s="38"/>
      <c r="AH210" s="38"/>
      <c r="AI210" s="38"/>
      <c r="AJ210" s="38"/>
      <c r="AK210" s="48"/>
      <c r="AL210" s="38"/>
      <c r="AM210" s="38"/>
      <c r="AN210" s="38"/>
      <c r="AO210" s="38"/>
      <c r="AP210" s="38"/>
      <c r="AQ210" s="38"/>
      <c r="AR210" s="38"/>
      <c r="AS210" s="38"/>
      <c r="AT210" s="38"/>
      <c r="AU210" s="48"/>
    </row>
    <row r="211" ht="15.75" customHeight="1">
      <c r="B211" s="38">
        <v>4.0</v>
      </c>
      <c r="C211" s="48"/>
      <c r="D211" s="38"/>
      <c r="E211" s="48"/>
      <c r="F211" s="38"/>
      <c r="G211" s="38"/>
      <c r="H211" s="38"/>
      <c r="I211" s="38"/>
      <c r="J211" s="38"/>
      <c r="K211" s="38"/>
      <c r="L211" s="38"/>
      <c r="M211" s="38"/>
      <c r="N211" s="38"/>
      <c r="O211" s="38"/>
      <c r="P211" s="38"/>
      <c r="Q211" s="38"/>
      <c r="R211" s="203"/>
      <c r="S211" s="203"/>
      <c r="T211" s="203"/>
      <c r="U211" s="203"/>
      <c r="V211" s="38"/>
      <c r="W211" s="38"/>
      <c r="X211" s="38"/>
      <c r="Y211" s="38"/>
      <c r="Z211" s="38"/>
      <c r="AA211" s="38"/>
      <c r="AB211" s="38"/>
      <c r="AC211" s="38"/>
      <c r="AD211" s="38"/>
      <c r="AE211" s="38"/>
      <c r="AF211" s="38"/>
      <c r="AG211" s="38"/>
      <c r="AH211" s="38"/>
      <c r="AI211" s="38"/>
      <c r="AJ211" s="38"/>
      <c r="AK211" s="48"/>
      <c r="AL211" s="38"/>
      <c r="AM211" s="38"/>
      <c r="AN211" s="38"/>
      <c r="AO211" s="38"/>
      <c r="AP211" s="38"/>
      <c r="AQ211" s="38"/>
      <c r="AR211" s="38"/>
      <c r="AS211" s="38"/>
      <c r="AT211" s="38"/>
      <c r="AU211" s="48"/>
    </row>
    <row r="212" ht="15.75" customHeight="1">
      <c r="A212" s="33"/>
      <c r="B212" s="38">
        <v>5.0</v>
      </c>
      <c r="C212" s="48"/>
      <c r="D212" s="38"/>
      <c r="E212" s="48"/>
      <c r="F212" s="38"/>
      <c r="G212" s="38"/>
      <c r="H212" s="38"/>
      <c r="I212" s="38"/>
      <c r="J212" s="38"/>
      <c r="K212" s="38"/>
      <c r="L212" s="38"/>
      <c r="M212" s="38"/>
      <c r="N212" s="38"/>
      <c r="O212" s="38"/>
      <c r="P212" s="38"/>
      <c r="Q212" s="38"/>
      <c r="R212" s="203"/>
      <c r="S212" s="203"/>
      <c r="T212" s="203"/>
      <c r="U212" s="203"/>
      <c r="V212" s="38"/>
      <c r="W212" s="38"/>
      <c r="X212" s="38"/>
      <c r="Y212" s="38"/>
      <c r="Z212" s="38"/>
      <c r="AA212" s="38"/>
      <c r="AB212" s="38"/>
      <c r="AC212" s="38"/>
      <c r="AD212" s="38"/>
      <c r="AE212" s="38"/>
      <c r="AF212" s="38"/>
      <c r="AG212" s="38"/>
      <c r="AH212" s="38"/>
      <c r="AI212" s="38"/>
      <c r="AJ212" s="38"/>
      <c r="AK212" s="48"/>
      <c r="AL212" s="38"/>
      <c r="AM212" s="38"/>
      <c r="AN212" s="38"/>
      <c r="AO212" s="38"/>
      <c r="AP212" s="38"/>
      <c r="AQ212" s="38"/>
      <c r="AR212" s="38"/>
      <c r="AS212" s="38"/>
      <c r="AT212" s="38"/>
      <c r="AU212" s="48"/>
    </row>
    <row r="213" ht="15.75" customHeight="1">
      <c r="A213" s="33"/>
      <c r="B213" s="38">
        <v>6.0</v>
      </c>
      <c r="C213" s="48"/>
      <c r="D213" s="38"/>
      <c r="E213" s="48"/>
      <c r="F213" s="38"/>
      <c r="G213" s="38"/>
      <c r="H213" s="38"/>
      <c r="I213" s="38"/>
      <c r="J213" s="38"/>
      <c r="K213" s="38"/>
      <c r="L213" s="38"/>
      <c r="M213" s="38"/>
      <c r="N213" s="38"/>
      <c r="O213" s="38"/>
      <c r="P213" s="38"/>
      <c r="Q213" s="38"/>
      <c r="R213" s="203"/>
      <c r="S213" s="203"/>
      <c r="T213" s="203"/>
      <c r="U213" s="203"/>
      <c r="V213" s="38"/>
      <c r="W213" s="38"/>
      <c r="X213" s="38"/>
      <c r="Y213" s="38"/>
      <c r="Z213" s="38"/>
      <c r="AA213" s="38"/>
      <c r="AB213" s="38"/>
      <c r="AC213" s="38"/>
      <c r="AD213" s="38"/>
      <c r="AE213" s="38"/>
      <c r="AF213" s="38"/>
      <c r="AG213" s="38"/>
      <c r="AH213" s="38"/>
      <c r="AI213" s="38"/>
      <c r="AJ213" s="38"/>
      <c r="AK213" s="48"/>
      <c r="AL213" s="38"/>
      <c r="AM213" s="38"/>
      <c r="AN213" s="38"/>
      <c r="AO213" s="38"/>
      <c r="AP213" s="38"/>
      <c r="AQ213" s="38"/>
      <c r="AR213" s="38"/>
      <c r="AS213" s="38"/>
      <c r="AT213" s="38"/>
      <c r="AU213" s="48"/>
    </row>
    <row r="214" ht="15.75" customHeight="1">
      <c r="A214" s="33"/>
      <c r="B214" s="38"/>
      <c r="C214" s="48"/>
      <c r="D214" s="38"/>
      <c r="E214" s="48"/>
      <c r="F214" s="38"/>
      <c r="G214" s="38"/>
      <c r="H214" s="38"/>
      <c r="I214" s="38"/>
      <c r="J214" s="38"/>
      <c r="K214" s="38"/>
      <c r="L214" s="38"/>
      <c r="M214" s="38"/>
      <c r="N214" s="38"/>
      <c r="O214" s="38"/>
      <c r="P214" s="38"/>
      <c r="Q214" s="38"/>
      <c r="R214" s="203"/>
      <c r="S214" s="203"/>
      <c r="T214" s="203"/>
      <c r="U214" s="203"/>
      <c r="V214" s="38"/>
      <c r="W214" s="38"/>
      <c r="X214" s="38"/>
      <c r="Y214" s="38"/>
      <c r="Z214" s="38"/>
      <c r="AA214" s="38"/>
      <c r="AB214" s="38"/>
      <c r="AC214" s="38"/>
      <c r="AD214" s="38"/>
      <c r="AE214" s="38"/>
      <c r="AF214" s="38"/>
      <c r="AG214" s="38"/>
      <c r="AH214" s="38"/>
      <c r="AI214" s="38"/>
      <c r="AJ214" s="38"/>
      <c r="AK214" s="48"/>
      <c r="AL214" s="38"/>
      <c r="AM214" s="38"/>
      <c r="AN214" s="38"/>
      <c r="AO214" s="38"/>
      <c r="AP214" s="38"/>
      <c r="AQ214" s="38"/>
      <c r="AR214" s="38"/>
      <c r="AS214" s="38"/>
      <c r="AT214" s="38"/>
      <c r="AU214" s="48"/>
    </row>
    <row r="215" ht="15.75" customHeight="1">
      <c r="A215" s="33"/>
      <c r="B215" s="38"/>
      <c r="C215" s="48"/>
      <c r="D215" s="38"/>
      <c r="E215" s="48"/>
      <c r="F215" s="38"/>
      <c r="G215" s="38"/>
      <c r="H215" s="38"/>
      <c r="I215" s="38"/>
      <c r="J215" s="38"/>
      <c r="K215" s="38"/>
      <c r="L215" s="38"/>
      <c r="M215" s="38"/>
      <c r="N215" s="38"/>
      <c r="O215" s="38"/>
      <c r="P215" s="38"/>
      <c r="Q215" s="38"/>
      <c r="R215" s="203"/>
      <c r="S215" s="203"/>
      <c r="T215" s="203"/>
      <c r="U215" s="203"/>
      <c r="V215" s="38"/>
      <c r="W215" s="38"/>
      <c r="X215" s="38"/>
      <c r="Y215" s="38"/>
      <c r="Z215" s="38"/>
      <c r="AA215" s="38"/>
      <c r="AB215" s="38"/>
      <c r="AC215" s="38"/>
      <c r="AD215" s="38"/>
      <c r="AE215" s="38"/>
      <c r="AF215" s="38"/>
      <c r="AG215" s="38"/>
      <c r="AH215" s="38"/>
      <c r="AI215" s="38"/>
      <c r="AJ215" s="38"/>
      <c r="AK215" s="48"/>
      <c r="AL215" s="38"/>
      <c r="AM215" s="38"/>
      <c r="AN215" s="38"/>
      <c r="AO215" s="38"/>
      <c r="AP215" s="38"/>
      <c r="AQ215" s="38"/>
      <c r="AR215" s="38"/>
      <c r="AS215" s="38"/>
      <c r="AT215" s="38"/>
      <c r="AU215" s="48"/>
    </row>
    <row r="216" ht="15.75" customHeight="1">
      <c r="A216" s="33"/>
      <c r="B216" s="38"/>
      <c r="C216" s="48"/>
      <c r="D216" s="38"/>
      <c r="E216" s="48"/>
      <c r="F216" s="38"/>
      <c r="G216" s="38"/>
      <c r="H216" s="38"/>
      <c r="I216" s="38"/>
      <c r="J216" s="38"/>
      <c r="K216" s="38"/>
      <c r="L216" s="38"/>
      <c r="M216" s="38"/>
      <c r="N216" s="38"/>
      <c r="O216" s="38"/>
      <c r="P216" s="38"/>
      <c r="Q216" s="38"/>
      <c r="R216" s="203"/>
      <c r="S216" s="203"/>
      <c r="T216" s="203"/>
      <c r="U216" s="203"/>
      <c r="V216" s="38"/>
      <c r="W216" s="38"/>
      <c r="X216" s="38"/>
      <c r="Y216" s="38"/>
      <c r="Z216" s="38"/>
      <c r="AA216" s="38"/>
      <c r="AB216" s="38"/>
      <c r="AC216" s="38"/>
      <c r="AD216" s="38"/>
      <c r="AE216" s="38"/>
      <c r="AF216" s="38"/>
      <c r="AG216" s="38"/>
      <c r="AH216" s="38"/>
      <c r="AI216" s="38"/>
      <c r="AJ216" s="38"/>
      <c r="AK216" s="48"/>
      <c r="AL216" s="38"/>
      <c r="AM216" s="38"/>
      <c r="AN216" s="38"/>
      <c r="AO216" s="38"/>
      <c r="AP216" s="38"/>
      <c r="AQ216" s="38"/>
      <c r="AR216" s="38"/>
      <c r="AS216" s="38"/>
      <c r="AT216" s="38"/>
      <c r="AU216" s="48"/>
    </row>
    <row r="217" ht="15.75" customHeight="1">
      <c r="A217" s="33"/>
      <c r="B217" s="38"/>
      <c r="C217" s="48"/>
      <c r="D217" s="38"/>
      <c r="E217" s="48"/>
      <c r="F217" s="38"/>
      <c r="G217" s="38"/>
      <c r="H217" s="38"/>
      <c r="I217" s="38"/>
      <c r="J217" s="38"/>
      <c r="K217" s="38"/>
      <c r="L217" s="38"/>
      <c r="M217" s="38"/>
      <c r="N217" s="38"/>
      <c r="O217" s="38"/>
      <c r="P217" s="38"/>
      <c r="Q217" s="38"/>
      <c r="R217" s="203"/>
      <c r="S217" s="203"/>
      <c r="T217" s="203"/>
      <c r="U217" s="203"/>
      <c r="V217" s="38"/>
      <c r="W217" s="38"/>
      <c r="X217" s="38"/>
      <c r="Y217" s="38"/>
      <c r="Z217" s="38"/>
      <c r="AA217" s="38"/>
      <c r="AB217" s="38"/>
      <c r="AC217" s="38"/>
      <c r="AD217" s="38"/>
      <c r="AE217" s="38"/>
      <c r="AF217" s="38"/>
      <c r="AG217" s="38"/>
      <c r="AH217" s="38"/>
      <c r="AI217" s="38"/>
      <c r="AJ217" s="38"/>
      <c r="AK217" s="48"/>
      <c r="AL217" s="38"/>
      <c r="AM217" s="38"/>
      <c r="AN217" s="38"/>
      <c r="AO217" s="38"/>
      <c r="AP217" s="38"/>
      <c r="AQ217" s="38"/>
      <c r="AR217" s="38"/>
      <c r="AS217" s="38"/>
      <c r="AT217" s="38"/>
      <c r="AU217" s="48"/>
    </row>
    <row r="218" ht="15.75" customHeight="1">
      <c r="A218" s="33"/>
      <c r="B218" s="38"/>
      <c r="C218" s="48"/>
      <c r="D218" s="38"/>
      <c r="E218" s="48"/>
      <c r="F218" s="38"/>
      <c r="G218" s="38"/>
      <c r="H218" s="38"/>
      <c r="I218" s="38"/>
      <c r="J218" s="38"/>
      <c r="K218" s="38"/>
      <c r="L218" s="38"/>
      <c r="M218" s="38"/>
      <c r="N218" s="38"/>
      <c r="O218" s="38"/>
      <c r="P218" s="38"/>
      <c r="Q218" s="38"/>
      <c r="R218" s="203"/>
      <c r="S218" s="203"/>
      <c r="T218" s="203"/>
      <c r="U218" s="203"/>
      <c r="V218" s="38"/>
      <c r="W218" s="38"/>
      <c r="X218" s="38"/>
      <c r="Y218" s="38"/>
      <c r="Z218" s="38"/>
      <c r="AA218" s="38"/>
      <c r="AB218" s="38"/>
      <c r="AC218" s="38"/>
      <c r="AD218" s="38"/>
      <c r="AE218" s="38"/>
      <c r="AF218" s="38"/>
      <c r="AG218" s="38"/>
      <c r="AH218" s="38"/>
      <c r="AI218" s="38"/>
      <c r="AJ218" s="38"/>
      <c r="AK218" s="48"/>
      <c r="AL218" s="38"/>
      <c r="AM218" s="38"/>
      <c r="AN218" s="38"/>
      <c r="AO218" s="38"/>
      <c r="AP218" s="38"/>
      <c r="AQ218" s="38"/>
      <c r="AR218" s="38"/>
      <c r="AS218" s="38"/>
      <c r="AT218" s="38"/>
      <c r="AU218" s="48"/>
    </row>
    <row r="219" ht="15.75" customHeight="1">
      <c r="A219" s="33"/>
      <c r="B219" s="38"/>
      <c r="C219" s="48"/>
      <c r="D219" s="38"/>
      <c r="E219" s="48"/>
      <c r="F219" s="38"/>
      <c r="G219" s="38"/>
      <c r="H219" s="38"/>
      <c r="I219" s="38"/>
      <c r="J219" s="38"/>
      <c r="K219" s="38"/>
      <c r="L219" s="38"/>
      <c r="M219" s="38"/>
      <c r="N219" s="38"/>
      <c r="O219" s="38"/>
      <c r="P219" s="38"/>
      <c r="Q219" s="38"/>
      <c r="R219" s="203"/>
      <c r="S219" s="203"/>
      <c r="T219" s="203"/>
      <c r="U219" s="203"/>
      <c r="V219" s="38"/>
      <c r="W219" s="38"/>
      <c r="X219" s="38"/>
      <c r="Y219" s="38"/>
      <c r="Z219" s="38"/>
      <c r="AA219" s="38"/>
      <c r="AB219" s="38"/>
      <c r="AC219" s="38"/>
      <c r="AD219" s="38"/>
      <c r="AE219" s="38"/>
      <c r="AF219" s="38"/>
      <c r="AG219" s="38"/>
      <c r="AH219" s="38"/>
      <c r="AI219" s="38"/>
      <c r="AJ219" s="38"/>
      <c r="AK219" s="48"/>
      <c r="AL219" s="38"/>
      <c r="AM219" s="38"/>
      <c r="AN219" s="38"/>
      <c r="AO219" s="38"/>
      <c r="AP219" s="38"/>
      <c r="AQ219" s="38"/>
      <c r="AR219" s="38"/>
      <c r="AS219" s="38"/>
      <c r="AT219" s="38"/>
      <c r="AU219" s="48"/>
    </row>
    <row r="220" ht="15.75" customHeight="1">
      <c r="A220" s="33"/>
      <c r="B220" s="38"/>
      <c r="C220" s="48"/>
      <c r="D220" s="38"/>
      <c r="E220" s="48"/>
      <c r="F220" s="38"/>
      <c r="G220" s="38"/>
      <c r="H220" s="38"/>
      <c r="I220" s="38"/>
      <c r="J220" s="38"/>
      <c r="K220" s="38"/>
      <c r="L220" s="38"/>
      <c r="M220" s="38"/>
      <c r="N220" s="38"/>
      <c r="O220" s="38"/>
      <c r="P220" s="38"/>
      <c r="Q220" s="38"/>
      <c r="R220" s="203"/>
      <c r="S220" s="203"/>
      <c r="T220" s="203"/>
      <c r="U220" s="203"/>
      <c r="V220" s="38"/>
      <c r="W220" s="38"/>
      <c r="X220" s="38"/>
      <c r="Y220" s="38"/>
      <c r="Z220" s="38"/>
      <c r="AA220" s="38"/>
      <c r="AB220" s="38"/>
      <c r="AC220" s="38"/>
      <c r="AD220" s="38"/>
      <c r="AE220" s="38"/>
      <c r="AF220" s="38"/>
      <c r="AG220" s="38"/>
      <c r="AH220" s="38"/>
      <c r="AI220" s="38"/>
      <c r="AJ220" s="38"/>
      <c r="AK220" s="48"/>
      <c r="AL220" s="38"/>
      <c r="AM220" s="38"/>
      <c r="AN220" s="38"/>
      <c r="AO220" s="38"/>
      <c r="AP220" s="38"/>
      <c r="AQ220" s="38"/>
      <c r="AR220" s="38"/>
      <c r="AS220" s="38"/>
      <c r="AT220" s="38"/>
      <c r="AU220" s="48"/>
    </row>
    <row r="221" ht="15.75" customHeight="1">
      <c r="A221" s="33"/>
      <c r="B221" s="38"/>
      <c r="C221" s="48"/>
      <c r="D221" s="38"/>
      <c r="E221" s="48"/>
      <c r="F221" s="38"/>
      <c r="G221" s="38"/>
      <c r="H221" s="38"/>
      <c r="I221" s="38"/>
      <c r="J221" s="38"/>
      <c r="K221" s="38"/>
      <c r="L221" s="38"/>
      <c r="M221" s="38"/>
      <c r="N221" s="38"/>
      <c r="O221" s="38"/>
      <c r="P221" s="38"/>
      <c r="Q221" s="38"/>
      <c r="R221" s="203"/>
      <c r="S221" s="203"/>
      <c r="T221" s="203"/>
      <c r="U221" s="203"/>
      <c r="V221" s="38"/>
      <c r="W221" s="38"/>
      <c r="X221" s="38"/>
      <c r="Y221" s="38"/>
      <c r="Z221" s="38"/>
      <c r="AA221" s="38"/>
      <c r="AB221" s="38"/>
      <c r="AC221" s="38"/>
      <c r="AD221" s="38"/>
      <c r="AE221" s="38"/>
      <c r="AF221" s="38"/>
      <c r="AG221" s="38"/>
      <c r="AH221" s="38"/>
      <c r="AI221" s="38"/>
      <c r="AJ221" s="38"/>
      <c r="AK221" s="48"/>
      <c r="AL221" s="38"/>
      <c r="AM221" s="38"/>
      <c r="AN221" s="38"/>
      <c r="AO221" s="38"/>
      <c r="AP221" s="38"/>
      <c r="AQ221" s="38"/>
      <c r="AR221" s="38"/>
      <c r="AS221" s="38"/>
      <c r="AT221" s="38"/>
      <c r="AU221" s="48"/>
    </row>
    <row r="222" ht="15.75" customHeight="1">
      <c r="A222" s="33"/>
      <c r="B222" s="38"/>
      <c r="C222" s="48"/>
      <c r="D222" s="38"/>
      <c r="E222" s="48"/>
      <c r="F222" s="38"/>
      <c r="G222" s="38"/>
      <c r="H222" s="38"/>
      <c r="I222" s="38"/>
      <c r="J222" s="38"/>
      <c r="K222" s="38"/>
      <c r="L222" s="38"/>
      <c r="M222" s="38"/>
      <c r="N222" s="38"/>
      <c r="O222" s="38"/>
      <c r="P222" s="38"/>
      <c r="Q222" s="38"/>
      <c r="R222" s="203"/>
      <c r="S222" s="203"/>
      <c r="T222" s="203"/>
      <c r="U222" s="203"/>
      <c r="V222" s="38"/>
      <c r="W222" s="38"/>
      <c r="X222" s="38"/>
      <c r="Y222" s="38"/>
      <c r="Z222" s="38"/>
      <c r="AA222" s="38"/>
      <c r="AB222" s="38"/>
      <c r="AC222" s="38"/>
      <c r="AD222" s="38"/>
      <c r="AE222" s="38"/>
      <c r="AF222" s="38"/>
      <c r="AG222" s="38"/>
      <c r="AH222" s="38"/>
      <c r="AI222" s="38"/>
      <c r="AJ222" s="38"/>
      <c r="AK222" s="48"/>
      <c r="AL222" s="38"/>
      <c r="AM222" s="38"/>
      <c r="AN222" s="38"/>
      <c r="AO222" s="38"/>
      <c r="AP222" s="38"/>
      <c r="AQ222" s="38"/>
      <c r="AR222" s="38"/>
      <c r="AS222" s="38"/>
      <c r="AT222" s="38"/>
      <c r="AU222" s="48"/>
    </row>
    <row r="223" ht="15.75" customHeight="1">
      <c r="A223" s="33"/>
      <c r="B223" s="38"/>
      <c r="C223" s="48"/>
      <c r="D223" s="38"/>
      <c r="E223" s="48"/>
      <c r="F223" s="38"/>
      <c r="G223" s="38"/>
      <c r="H223" s="38"/>
      <c r="I223" s="38"/>
      <c r="J223" s="38"/>
      <c r="K223" s="38"/>
      <c r="L223" s="38"/>
      <c r="M223" s="38"/>
      <c r="N223" s="38"/>
      <c r="O223" s="38"/>
      <c r="P223" s="38"/>
      <c r="Q223" s="38"/>
      <c r="R223" s="203"/>
      <c r="S223" s="203"/>
      <c r="T223" s="203"/>
      <c r="U223" s="203"/>
      <c r="V223" s="38"/>
      <c r="W223" s="38"/>
      <c r="X223" s="38"/>
      <c r="Y223" s="38"/>
      <c r="Z223" s="38"/>
      <c r="AA223" s="38"/>
      <c r="AB223" s="38"/>
      <c r="AC223" s="38"/>
      <c r="AD223" s="38"/>
      <c r="AE223" s="38"/>
      <c r="AF223" s="38"/>
      <c r="AG223" s="38"/>
      <c r="AH223" s="38"/>
      <c r="AI223" s="38"/>
      <c r="AJ223" s="38"/>
      <c r="AK223" s="48"/>
      <c r="AL223" s="38"/>
      <c r="AM223" s="38"/>
      <c r="AN223" s="38"/>
      <c r="AO223" s="38"/>
      <c r="AP223" s="38"/>
      <c r="AQ223" s="38"/>
      <c r="AR223" s="38"/>
      <c r="AS223" s="38"/>
      <c r="AT223" s="38"/>
      <c r="AU223" s="48"/>
    </row>
    <row r="224" ht="15.75" customHeight="1">
      <c r="A224" s="33"/>
      <c r="B224" s="38"/>
      <c r="C224" s="48"/>
      <c r="D224" s="38"/>
      <c r="E224" s="48"/>
      <c r="F224" s="38"/>
      <c r="G224" s="38"/>
      <c r="H224" s="38"/>
      <c r="I224" s="38"/>
      <c r="J224" s="38"/>
      <c r="K224" s="38"/>
      <c r="L224" s="38"/>
      <c r="M224" s="38"/>
      <c r="N224" s="38"/>
      <c r="O224" s="38"/>
      <c r="P224" s="38"/>
      <c r="Q224" s="38"/>
      <c r="R224" s="203"/>
      <c r="S224" s="203"/>
      <c r="T224" s="203"/>
      <c r="U224" s="203"/>
      <c r="V224" s="38"/>
      <c r="W224" s="38"/>
      <c r="X224" s="38"/>
      <c r="Y224" s="38"/>
      <c r="Z224" s="38"/>
      <c r="AA224" s="38"/>
      <c r="AB224" s="38"/>
      <c r="AC224" s="38"/>
      <c r="AD224" s="38"/>
      <c r="AE224" s="38"/>
      <c r="AF224" s="38"/>
      <c r="AG224" s="38"/>
      <c r="AH224" s="38"/>
      <c r="AI224" s="38"/>
      <c r="AJ224" s="38"/>
      <c r="AK224" s="48"/>
      <c r="AL224" s="38"/>
      <c r="AM224" s="38"/>
      <c r="AN224" s="38"/>
      <c r="AO224" s="38"/>
      <c r="AP224" s="38"/>
      <c r="AQ224" s="38"/>
      <c r="AR224" s="38"/>
      <c r="AS224" s="38"/>
      <c r="AT224" s="38"/>
      <c r="AU224" s="48"/>
    </row>
    <row r="225" ht="15.75" customHeight="1">
      <c r="A225" s="33"/>
      <c r="B225" s="38"/>
      <c r="C225" s="48"/>
      <c r="D225" s="38"/>
      <c r="E225" s="48"/>
      <c r="F225" s="38"/>
      <c r="G225" s="38"/>
      <c r="H225" s="38"/>
      <c r="I225" s="38"/>
      <c r="J225" s="38"/>
      <c r="K225" s="38"/>
      <c r="L225" s="38"/>
      <c r="M225" s="38"/>
      <c r="N225" s="38"/>
      <c r="O225" s="38"/>
      <c r="P225" s="38"/>
      <c r="Q225" s="38"/>
      <c r="R225" s="203"/>
      <c r="S225" s="203"/>
      <c r="T225" s="203"/>
      <c r="U225" s="203"/>
      <c r="V225" s="38"/>
      <c r="W225" s="38"/>
      <c r="X225" s="38"/>
      <c r="Y225" s="38"/>
      <c r="Z225" s="38"/>
      <c r="AA225" s="38"/>
      <c r="AB225" s="38"/>
      <c r="AC225" s="38"/>
      <c r="AD225" s="38"/>
      <c r="AE225" s="38"/>
      <c r="AF225" s="38"/>
      <c r="AG225" s="38"/>
      <c r="AH225" s="38"/>
      <c r="AI225" s="38"/>
      <c r="AJ225" s="38"/>
      <c r="AK225" s="48"/>
      <c r="AL225" s="38"/>
      <c r="AM225" s="38"/>
      <c r="AN225" s="38"/>
      <c r="AO225" s="38"/>
      <c r="AP225" s="38"/>
      <c r="AQ225" s="38"/>
      <c r="AR225" s="38"/>
      <c r="AS225" s="38"/>
      <c r="AT225" s="38"/>
      <c r="AU225" s="48"/>
    </row>
    <row r="226" ht="15.75" customHeight="1">
      <c r="A226" s="33"/>
      <c r="B226" s="38"/>
      <c r="C226" s="48"/>
      <c r="D226" s="38"/>
      <c r="E226" s="48"/>
      <c r="F226" s="38"/>
      <c r="G226" s="38"/>
      <c r="H226" s="38"/>
      <c r="I226" s="38"/>
      <c r="J226" s="38"/>
      <c r="K226" s="38"/>
      <c r="L226" s="38"/>
      <c r="M226" s="38"/>
      <c r="N226" s="38"/>
      <c r="O226" s="38"/>
      <c r="P226" s="38"/>
      <c r="Q226" s="38"/>
      <c r="R226" s="203"/>
      <c r="S226" s="203"/>
      <c r="T226" s="203"/>
      <c r="U226" s="203"/>
      <c r="V226" s="38"/>
      <c r="W226" s="38"/>
      <c r="X226" s="38"/>
      <c r="Y226" s="38"/>
      <c r="Z226" s="38"/>
      <c r="AA226" s="38"/>
      <c r="AB226" s="38"/>
      <c r="AC226" s="38"/>
      <c r="AD226" s="38"/>
      <c r="AE226" s="38"/>
      <c r="AF226" s="38"/>
      <c r="AG226" s="38"/>
      <c r="AH226" s="38"/>
      <c r="AI226" s="38"/>
      <c r="AJ226" s="38"/>
      <c r="AK226" s="48"/>
      <c r="AL226" s="38"/>
      <c r="AM226" s="38"/>
      <c r="AN226" s="38"/>
      <c r="AO226" s="38"/>
      <c r="AP226" s="38"/>
      <c r="AQ226" s="38"/>
      <c r="AR226" s="38"/>
      <c r="AS226" s="38"/>
      <c r="AT226" s="38"/>
      <c r="AU226" s="48"/>
    </row>
    <row r="227" ht="15.75" customHeight="1">
      <c r="A227" s="33"/>
      <c r="B227" s="38"/>
      <c r="C227" s="48"/>
      <c r="D227" s="38"/>
      <c r="E227" s="48"/>
      <c r="F227" s="38"/>
      <c r="G227" s="38"/>
      <c r="H227" s="38"/>
      <c r="I227" s="38"/>
      <c r="J227" s="38"/>
      <c r="K227" s="38"/>
      <c r="L227" s="38"/>
      <c r="M227" s="38"/>
      <c r="N227" s="38"/>
      <c r="O227" s="38"/>
      <c r="P227" s="38"/>
      <c r="Q227" s="38"/>
      <c r="R227" s="203"/>
      <c r="S227" s="203"/>
      <c r="T227" s="203"/>
      <c r="U227" s="203"/>
      <c r="V227" s="38"/>
      <c r="W227" s="38"/>
      <c r="X227" s="38"/>
      <c r="Y227" s="38"/>
      <c r="Z227" s="38"/>
      <c r="AA227" s="38"/>
      <c r="AB227" s="38"/>
      <c r="AC227" s="38"/>
      <c r="AD227" s="38"/>
      <c r="AE227" s="38"/>
      <c r="AF227" s="38"/>
      <c r="AG227" s="38"/>
      <c r="AH227" s="38"/>
      <c r="AI227" s="38"/>
      <c r="AJ227" s="38"/>
      <c r="AK227" s="48"/>
      <c r="AL227" s="38"/>
      <c r="AM227" s="38"/>
      <c r="AN227" s="38"/>
      <c r="AO227" s="38"/>
      <c r="AP227" s="38"/>
      <c r="AQ227" s="38"/>
      <c r="AR227" s="38"/>
      <c r="AS227" s="38"/>
      <c r="AT227" s="38"/>
      <c r="AU227" s="48"/>
    </row>
    <row r="228" ht="15.75" customHeight="1">
      <c r="A228" s="33"/>
      <c r="B228" s="38"/>
      <c r="C228" s="48"/>
      <c r="D228" s="38"/>
      <c r="E228" s="48"/>
      <c r="F228" s="38"/>
      <c r="G228" s="38"/>
      <c r="H228" s="38"/>
      <c r="I228" s="38"/>
      <c r="J228" s="38"/>
      <c r="K228" s="38"/>
      <c r="L228" s="38"/>
      <c r="M228" s="38"/>
      <c r="N228" s="38"/>
      <c r="O228" s="38"/>
      <c r="P228" s="38"/>
      <c r="Q228" s="38"/>
      <c r="R228" s="203"/>
      <c r="S228" s="203"/>
      <c r="T228" s="203"/>
      <c r="U228" s="203"/>
      <c r="V228" s="38"/>
      <c r="W228" s="38"/>
      <c r="X228" s="38"/>
      <c r="Y228" s="38"/>
      <c r="Z228" s="38"/>
      <c r="AA228" s="38"/>
      <c r="AB228" s="38"/>
      <c r="AC228" s="38"/>
      <c r="AD228" s="38"/>
      <c r="AE228" s="38"/>
      <c r="AF228" s="38"/>
      <c r="AG228" s="38"/>
      <c r="AH228" s="38"/>
      <c r="AI228" s="38"/>
      <c r="AJ228" s="38"/>
      <c r="AK228" s="48"/>
      <c r="AL228" s="38"/>
      <c r="AM228" s="38"/>
      <c r="AN228" s="38"/>
      <c r="AO228" s="38"/>
      <c r="AP228" s="38"/>
      <c r="AQ228" s="38"/>
      <c r="AR228" s="38"/>
      <c r="AS228" s="38"/>
      <c r="AT228" s="38"/>
      <c r="AU228" s="48"/>
    </row>
    <row r="229" ht="15.75" customHeight="1">
      <c r="A229" s="33"/>
      <c r="B229" s="38"/>
      <c r="C229" s="48"/>
      <c r="D229" s="38"/>
      <c r="E229" s="4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48"/>
      <c r="AL229" s="38"/>
      <c r="AM229" s="38"/>
      <c r="AN229" s="38"/>
      <c r="AO229" s="38"/>
      <c r="AP229" s="38"/>
      <c r="AQ229" s="38"/>
      <c r="AR229" s="38"/>
      <c r="AS229" s="38"/>
      <c r="AT229" s="38"/>
      <c r="AU229" s="48"/>
    </row>
    <row r="230" ht="15.75" customHeight="1">
      <c r="A230" s="33"/>
      <c r="B230" s="38"/>
      <c r="C230" s="48"/>
      <c r="D230" s="38"/>
      <c r="E230" s="4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48"/>
      <c r="AL230" s="38"/>
      <c r="AM230" s="38"/>
      <c r="AN230" s="38"/>
      <c r="AO230" s="38"/>
      <c r="AP230" s="38"/>
      <c r="AQ230" s="38"/>
      <c r="AR230" s="38"/>
      <c r="AS230" s="38"/>
      <c r="AT230" s="38"/>
      <c r="AU230" s="48"/>
    </row>
    <row r="231" ht="15.75" customHeight="1">
      <c r="A231" s="33"/>
      <c r="B231" s="38"/>
      <c r="C231" s="48"/>
      <c r="D231" s="38"/>
      <c r="E231" s="4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48"/>
      <c r="AL231" s="38"/>
      <c r="AM231" s="38"/>
      <c r="AN231" s="38"/>
      <c r="AO231" s="38"/>
      <c r="AP231" s="38"/>
      <c r="AQ231" s="38"/>
      <c r="AR231" s="38"/>
      <c r="AS231" s="38"/>
      <c r="AT231" s="38"/>
      <c r="AU231" s="48"/>
    </row>
    <row r="232" ht="15.75" customHeight="1">
      <c r="A232" s="33"/>
      <c r="B232" s="38"/>
      <c r="C232" s="48"/>
      <c r="D232" s="38"/>
      <c r="E232" s="4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48"/>
      <c r="AL232" s="38"/>
      <c r="AM232" s="38"/>
      <c r="AN232" s="38"/>
      <c r="AO232" s="38"/>
      <c r="AP232" s="38"/>
      <c r="AQ232" s="38"/>
      <c r="AR232" s="38"/>
      <c r="AS232" s="38"/>
      <c r="AT232" s="38"/>
      <c r="AU232" s="48"/>
    </row>
    <row r="233" ht="15.75" customHeight="1">
      <c r="A233" s="33"/>
      <c r="B233" s="38"/>
      <c r="C233" s="48"/>
      <c r="D233" s="38"/>
      <c r="E233" s="4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48"/>
      <c r="AL233" s="38"/>
      <c r="AM233" s="38"/>
      <c r="AN233" s="38"/>
      <c r="AO233" s="38"/>
      <c r="AP233" s="38"/>
      <c r="AQ233" s="38"/>
      <c r="AR233" s="38"/>
      <c r="AS233" s="38"/>
      <c r="AT233" s="38"/>
      <c r="AU233" s="48"/>
    </row>
    <row r="234" ht="15.75" customHeight="1">
      <c r="A234" s="33"/>
      <c r="B234" s="38"/>
      <c r="C234" s="48"/>
      <c r="D234" s="38"/>
      <c r="E234" s="4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48"/>
      <c r="AL234" s="38"/>
      <c r="AM234" s="38"/>
      <c r="AN234" s="38"/>
      <c r="AO234" s="38"/>
      <c r="AP234" s="38"/>
      <c r="AQ234" s="38"/>
      <c r="AR234" s="38"/>
      <c r="AS234" s="38"/>
      <c r="AT234" s="38"/>
      <c r="AU234" s="48"/>
    </row>
    <row r="235" ht="15.75" customHeight="1">
      <c r="A235" s="33"/>
      <c r="B235" s="38"/>
      <c r="C235" s="48"/>
      <c r="D235" s="38"/>
      <c r="E235" s="4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48"/>
      <c r="AL235" s="38"/>
      <c r="AM235" s="38"/>
      <c r="AN235" s="38"/>
      <c r="AO235" s="38"/>
      <c r="AP235" s="38"/>
      <c r="AQ235" s="38"/>
      <c r="AR235" s="38"/>
      <c r="AS235" s="38"/>
      <c r="AT235" s="38"/>
      <c r="AU235" s="48"/>
    </row>
    <row r="236" ht="15.75" customHeight="1">
      <c r="A236" s="33"/>
      <c r="B236" s="38"/>
      <c r="C236" s="48"/>
      <c r="D236" s="38"/>
      <c r="E236" s="4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48"/>
      <c r="AL236" s="38"/>
      <c r="AM236" s="38"/>
      <c r="AN236" s="38"/>
      <c r="AO236" s="38"/>
      <c r="AP236" s="38"/>
      <c r="AQ236" s="38"/>
      <c r="AR236" s="38"/>
      <c r="AS236" s="38"/>
      <c r="AT236" s="38"/>
      <c r="AU236" s="48"/>
    </row>
    <row r="237" ht="15.75" customHeight="1">
      <c r="A237" s="33"/>
      <c r="B237" s="38"/>
      <c r="C237" s="48"/>
      <c r="D237" s="38"/>
      <c r="E237" s="4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48"/>
      <c r="AL237" s="38"/>
      <c r="AM237" s="38"/>
      <c r="AN237" s="38"/>
      <c r="AO237" s="38"/>
      <c r="AP237" s="38"/>
      <c r="AQ237" s="38"/>
      <c r="AR237" s="38"/>
      <c r="AS237" s="38"/>
      <c r="AT237" s="38"/>
      <c r="AU237" s="48"/>
    </row>
    <row r="238" ht="15.75" customHeight="1">
      <c r="A238" s="33"/>
      <c r="B238" s="38"/>
      <c r="C238" s="48"/>
      <c r="D238" s="38"/>
      <c r="E238" s="4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48"/>
      <c r="AL238" s="38"/>
      <c r="AM238" s="38"/>
      <c r="AN238" s="38"/>
      <c r="AO238" s="38"/>
      <c r="AP238" s="38"/>
      <c r="AQ238" s="38"/>
      <c r="AR238" s="38"/>
      <c r="AS238" s="38"/>
      <c r="AT238" s="38"/>
      <c r="AU238" s="48"/>
    </row>
    <row r="239" ht="15.75" customHeight="1">
      <c r="A239" s="33"/>
      <c r="B239" s="38"/>
      <c r="C239" s="48"/>
      <c r="D239" s="38"/>
      <c r="E239" s="4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48"/>
      <c r="AL239" s="38"/>
      <c r="AM239" s="38"/>
      <c r="AN239" s="38"/>
      <c r="AO239" s="38"/>
      <c r="AP239" s="38"/>
      <c r="AQ239" s="38"/>
      <c r="AR239" s="38"/>
      <c r="AS239" s="38"/>
      <c r="AT239" s="38"/>
      <c r="AU239" s="48"/>
    </row>
    <row r="240" ht="15.75" customHeight="1">
      <c r="A240" s="33"/>
      <c r="B240" s="38"/>
      <c r="C240" s="48"/>
      <c r="D240" s="38"/>
      <c r="E240" s="4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48"/>
      <c r="AL240" s="38"/>
      <c r="AM240" s="38"/>
      <c r="AN240" s="38"/>
      <c r="AO240" s="38"/>
      <c r="AP240" s="38"/>
      <c r="AQ240" s="38"/>
      <c r="AR240" s="38"/>
      <c r="AS240" s="38"/>
      <c r="AT240" s="38"/>
      <c r="AU240" s="48"/>
    </row>
    <row r="241" ht="15.75" customHeight="1">
      <c r="A241" s="33"/>
      <c r="B241" s="38"/>
      <c r="C241" s="48"/>
      <c r="D241" s="38"/>
      <c r="E241" s="4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48"/>
      <c r="AL241" s="38"/>
      <c r="AM241" s="38"/>
      <c r="AN241" s="38"/>
      <c r="AO241" s="38"/>
      <c r="AP241" s="38"/>
      <c r="AQ241" s="38"/>
      <c r="AR241" s="38"/>
      <c r="AS241" s="38"/>
      <c r="AT241" s="38"/>
      <c r="AU241" s="48"/>
    </row>
    <row r="242" ht="15.75" customHeight="1">
      <c r="A242" s="33"/>
      <c r="B242" s="38"/>
      <c r="C242" s="48"/>
      <c r="D242" s="38"/>
      <c r="E242" s="4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48"/>
      <c r="AL242" s="38"/>
      <c r="AM242" s="38"/>
      <c r="AN242" s="38"/>
      <c r="AO242" s="38"/>
      <c r="AP242" s="38"/>
      <c r="AQ242" s="38"/>
      <c r="AR242" s="38"/>
      <c r="AS242" s="38"/>
      <c r="AT242" s="38"/>
      <c r="AU242" s="48"/>
    </row>
    <row r="243" ht="15.75" customHeight="1">
      <c r="A243" s="33"/>
      <c r="B243" s="38"/>
      <c r="C243" s="48"/>
      <c r="D243" s="38"/>
      <c r="E243" s="4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48"/>
      <c r="AL243" s="38"/>
      <c r="AM243" s="38"/>
      <c r="AN243" s="38"/>
      <c r="AO243" s="38"/>
      <c r="AP243" s="38"/>
      <c r="AQ243" s="38"/>
      <c r="AR243" s="38"/>
      <c r="AS243" s="38"/>
      <c r="AT243" s="38"/>
      <c r="AU243" s="48"/>
    </row>
    <row r="244" ht="15.75" customHeight="1">
      <c r="A244" s="33"/>
      <c r="B244" s="38"/>
      <c r="C244" s="48"/>
      <c r="D244" s="38"/>
      <c r="E244" s="4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48"/>
      <c r="AL244" s="38"/>
      <c r="AM244" s="38"/>
      <c r="AN244" s="38"/>
      <c r="AO244" s="38"/>
      <c r="AP244" s="38"/>
      <c r="AQ244" s="38"/>
      <c r="AR244" s="38"/>
      <c r="AS244" s="38"/>
      <c r="AT244" s="38"/>
      <c r="AU244" s="48"/>
    </row>
    <row r="245" ht="15.75" customHeight="1">
      <c r="A245" s="33"/>
      <c r="B245" s="38"/>
      <c r="C245" s="48"/>
      <c r="D245" s="38"/>
      <c r="E245" s="4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48"/>
      <c r="AL245" s="38"/>
      <c r="AM245" s="38"/>
      <c r="AN245" s="38"/>
      <c r="AO245" s="38"/>
      <c r="AP245" s="38"/>
      <c r="AQ245" s="38"/>
      <c r="AR245" s="38"/>
      <c r="AS245" s="38"/>
      <c r="AT245" s="38"/>
      <c r="AU245" s="48"/>
    </row>
    <row r="246" ht="15.75" customHeight="1">
      <c r="A246" s="33"/>
      <c r="B246" s="38"/>
      <c r="C246" s="48"/>
      <c r="D246" s="38"/>
      <c r="E246" s="4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48"/>
      <c r="AL246" s="38"/>
      <c r="AM246" s="38"/>
      <c r="AN246" s="38"/>
      <c r="AO246" s="38"/>
      <c r="AP246" s="38"/>
      <c r="AQ246" s="38"/>
      <c r="AR246" s="38"/>
      <c r="AS246" s="38"/>
      <c r="AT246" s="38"/>
      <c r="AU246" s="48"/>
    </row>
    <row r="247" ht="15.75" customHeight="1">
      <c r="A247" s="33"/>
      <c r="B247" s="38"/>
      <c r="C247" s="48"/>
      <c r="D247" s="38"/>
      <c r="E247" s="4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48"/>
      <c r="AL247" s="38"/>
      <c r="AM247" s="38"/>
      <c r="AN247" s="38"/>
      <c r="AO247" s="38"/>
      <c r="AP247" s="38"/>
      <c r="AQ247" s="38"/>
      <c r="AR247" s="38"/>
      <c r="AS247" s="38"/>
      <c r="AT247" s="38"/>
      <c r="AU247" s="48"/>
    </row>
    <row r="248" ht="15.75" customHeight="1">
      <c r="A248" s="33"/>
      <c r="B248" s="38"/>
      <c r="C248" s="48"/>
      <c r="D248" s="38"/>
      <c r="E248" s="4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48"/>
      <c r="AL248" s="38"/>
      <c r="AM248" s="38"/>
      <c r="AN248" s="38"/>
      <c r="AO248" s="38"/>
      <c r="AP248" s="38"/>
      <c r="AQ248" s="38"/>
      <c r="AR248" s="38"/>
      <c r="AS248" s="38"/>
      <c r="AT248" s="38"/>
      <c r="AU248" s="48"/>
    </row>
    <row r="249" ht="15.75" customHeight="1">
      <c r="A249" s="33"/>
      <c r="B249" s="38"/>
      <c r="C249" s="48"/>
      <c r="D249" s="38"/>
      <c r="E249" s="4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48"/>
      <c r="AL249" s="38"/>
      <c r="AM249" s="38"/>
      <c r="AN249" s="38"/>
      <c r="AO249" s="38"/>
      <c r="AP249" s="38"/>
      <c r="AQ249" s="38"/>
      <c r="AR249" s="38"/>
      <c r="AS249" s="38"/>
      <c r="AT249" s="38"/>
      <c r="AU249" s="48"/>
    </row>
    <row r="250" ht="15.75" customHeight="1">
      <c r="A250" s="33"/>
      <c r="B250" s="38"/>
      <c r="C250" s="48"/>
      <c r="D250" s="38"/>
      <c r="E250" s="4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48"/>
      <c r="AL250" s="38"/>
      <c r="AM250" s="38"/>
      <c r="AN250" s="38"/>
      <c r="AO250" s="38"/>
      <c r="AP250" s="38"/>
      <c r="AQ250" s="38"/>
      <c r="AR250" s="38"/>
      <c r="AS250" s="38"/>
      <c r="AT250" s="38"/>
      <c r="AU250" s="48"/>
    </row>
    <row r="251" ht="15.75" customHeight="1">
      <c r="A251" s="33"/>
      <c r="B251" s="38"/>
      <c r="C251" s="48"/>
      <c r="D251" s="38"/>
      <c r="E251" s="4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48"/>
      <c r="AL251" s="38"/>
      <c r="AM251" s="38"/>
      <c r="AN251" s="38"/>
      <c r="AO251" s="38"/>
      <c r="AP251" s="38"/>
      <c r="AQ251" s="38"/>
      <c r="AR251" s="38"/>
      <c r="AS251" s="38"/>
      <c r="AT251" s="38"/>
      <c r="AU251" s="48"/>
    </row>
    <row r="252" ht="15.75" customHeight="1">
      <c r="A252" s="33"/>
      <c r="B252" s="38"/>
      <c r="C252" s="48"/>
      <c r="D252" s="38"/>
      <c r="E252" s="4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48"/>
      <c r="AL252" s="38"/>
      <c r="AM252" s="38"/>
      <c r="AN252" s="38"/>
      <c r="AO252" s="38"/>
      <c r="AP252" s="38"/>
      <c r="AQ252" s="38"/>
      <c r="AR252" s="38"/>
      <c r="AS252" s="38"/>
      <c r="AT252" s="38"/>
      <c r="AU252" s="48"/>
    </row>
    <row r="253" ht="15.75" customHeight="1">
      <c r="A253" s="33"/>
      <c r="B253" s="38"/>
      <c r="C253" s="48"/>
      <c r="D253" s="38"/>
      <c r="E253" s="4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48"/>
      <c r="AL253" s="38"/>
      <c r="AM253" s="38"/>
      <c r="AN253" s="38"/>
      <c r="AO253" s="38"/>
      <c r="AP253" s="38"/>
      <c r="AQ253" s="38"/>
      <c r="AR253" s="38"/>
      <c r="AS253" s="38"/>
      <c r="AT253" s="38"/>
      <c r="AU253" s="48"/>
    </row>
    <row r="254" ht="15.75" customHeight="1">
      <c r="A254" s="33"/>
      <c r="B254" s="38"/>
      <c r="C254" s="48"/>
      <c r="D254" s="38"/>
      <c r="E254" s="4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48"/>
      <c r="AL254" s="38"/>
      <c r="AM254" s="38"/>
      <c r="AN254" s="38"/>
      <c r="AO254" s="38"/>
      <c r="AP254" s="38"/>
      <c r="AQ254" s="38"/>
      <c r="AR254" s="38"/>
      <c r="AS254" s="38"/>
      <c r="AT254" s="38"/>
      <c r="AU254" s="48"/>
    </row>
    <row r="255" ht="15.75" customHeight="1">
      <c r="A255" s="33"/>
      <c r="B255" s="38"/>
      <c r="C255" s="48"/>
      <c r="D255" s="38"/>
      <c r="E255" s="4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48"/>
      <c r="AL255" s="38"/>
      <c r="AM255" s="38"/>
      <c r="AN255" s="38"/>
      <c r="AO255" s="38"/>
      <c r="AP255" s="38"/>
      <c r="AQ255" s="38"/>
      <c r="AR255" s="38"/>
      <c r="AS255" s="38"/>
      <c r="AT255" s="38"/>
      <c r="AU255" s="48"/>
    </row>
    <row r="256" ht="15.75" customHeight="1">
      <c r="A256" s="33"/>
      <c r="B256" s="38"/>
      <c r="C256" s="48"/>
      <c r="D256" s="38"/>
      <c r="E256" s="4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48"/>
      <c r="AL256" s="38"/>
      <c r="AM256" s="38"/>
      <c r="AN256" s="38"/>
      <c r="AO256" s="38"/>
      <c r="AP256" s="38"/>
      <c r="AQ256" s="38"/>
      <c r="AR256" s="38"/>
      <c r="AS256" s="38"/>
      <c r="AT256" s="38"/>
      <c r="AU256" s="48"/>
    </row>
    <row r="257" ht="15.75" customHeight="1">
      <c r="A257" s="33"/>
      <c r="B257" s="38"/>
      <c r="C257" s="48"/>
      <c r="D257" s="38"/>
      <c r="E257" s="4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48"/>
      <c r="AL257" s="38"/>
      <c r="AM257" s="38"/>
      <c r="AN257" s="38"/>
      <c r="AO257" s="38"/>
      <c r="AP257" s="38"/>
      <c r="AQ257" s="38"/>
      <c r="AR257" s="38"/>
      <c r="AS257" s="38"/>
      <c r="AT257" s="38"/>
      <c r="AU257" s="48"/>
    </row>
    <row r="258" ht="15.75" customHeight="1">
      <c r="A258" s="33"/>
      <c r="B258" s="38"/>
      <c r="C258" s="48"/>
      <c r="D258" s="38"/>
      <c r="E258" s="4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48"/>
      <c r="AL258" s="38"/>
      <c r="AM258" s="38"/>
      <c r="AN258" s="38"/>
      <c r="AO258" s="38"/>
      <c r="AP258" s="38"/>
      <c r="AQ258" s="38"/>
      <c r="AR258" s="38"/>
      <c r="AS258" s="38"/>
      <c r="AT258" s="38"/>
      <c r="AU258" s="48"/>
    </row>
    <row r="259" ht="15.75" customHeight="1">
      <c r="A259" s="33"/>
      <c r="B259" s="38"/>
      <c r="C259" s="48"/>
      <c r="D259" s="38"/>
      <c r="E259" s="4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48"/>
      <c r="AL259" s="38"/>
      <c r="AM259" s="38"/>
      <c r="AN259" s="38"/>
      <c r="AO259" s="38"/>
      <c r="AP259" s="38"/>
      <c r="AQ259" s="38"/>
      <c r="AR259" s="38"/>
      <c r="AS259" s="38"/>
      <c r="AT259" s="38"/>
      <c r="AU259" s="48"/>
    </row>
    <row r="260" ht="15.75" customHeight="1">
      <c r="A260" s="33"/>
      <c r="B260" s="38"/>
      <c r="C260" s="48"/>
      <c r="D260" s="38"/>
      <c r="E260" s="4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48"/>
      <c r="AL260" s="38"/>
      <c r="AM260" s="38"/>
      <c r="AN260" s="38"/>
      <c r="AO260" s="38"/>
      <c r="AP260" s="38"/>
      <c r="AQ260" s="38"/>
      <c r="AR260" s="38"/>
      <c r="AS260" s="38"/>
      <c r="AT260" s="38"/>
      <c r="AU260" s="48"/>
    </row>
    <row r="261" ht="15.75" customHeight="1">
      <c r="A261" s="33"/>
      <c r="B261" s="38"/>
      <c r="C261" s="48"/>
      <c r="D261" s="38"/>
      <c r="E261" s="4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48"/>
      <c r="AL261" s="38"/>
      <c r="AM261" s="38"/>
      <c r="AN261" s="38"/>
      <c r="AO261" s="38"/>
      <c r="AP261" s="38"/>
      <c r="AQ261" s="38"/>
      <c r="AR261" s="38"/>
      <c r="AS261" s="38"/>
      <c r="AT261" s="38"/>
      <c r="AU261" s="48"/>
    </row>
    <row r="262" ht="15.75" customHeight="1">
      <c r="A262" s="33"/>
      <c r="B262" s="38"/>
      <c r="C262" s="48"/>
      <c r="D262" s="38"/>
      <c r="E262" s="4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48"/>
      <c r="AL262" s="38"/>
      <c r="AM262" s="38"/>
      <c r="AN262" s="38"/>
      <c r="AO262" s="38"/>
      <c r="AP262" s="38"/>
      <c r="AQ262" s="38"/>
      <c r="AR262" s="38"/>
      <c r="AS262" s="38"/>
      <c r="AT262" s="38"/>
      <c r="AU262" s="48"/>
    </row>
    <row r="263" ht="15.75" customHeight="1">
      <c r="A263" s="33"/>
      <c r="B263" s="38"/>
      <c r="C263" s="48"/>
      <c r="D263" s="38"/>
      <c r="E263" s="4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48"/>
      <c r="AL263" s="38"/>
      <c r="AM263" s="38"/>
      <c r="AN263" s="38"/>
      <c r="AO263" s="38"/>
      <c r="AP263" s="38"/>
      <c r="AQ263" s="38"/>
      <c r="AR263" s="38"/>
      <c r="AS263" s="38"/>
      <c r="AT263" s="38"/>
      <c r="AU263" s="48"/>
    </row>
    <row r="264" ht="15.75" customHeight="1">
      <c r="A264" s="33"/>
      <c r="B264" s="38"/>
      <c r="C264" s="48"/>
      <c r="D264" s="38"/>
      <c r="E264" s="4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48"/>
      <c r="AL264" s="38"/>
      <c r="AM264" s="38"/>
      <c r="AN264" s="38"/>
      <c r="AO264" s="38"/>
      <c r="AP264" s="38"/>
      <c r="AQ264" s="38"/>
      <c r="AR264" s="38"/>
      <c r="AS264" s="38"/>
      <c r="AT264" s="38"/>
      <c r="AU264" s="48"/>
    </row>
    <row r="265" ht="15.75" customHeight="1">
      <c r="A265" s="33"/>
      <c r="B265" s="38"/>
      <c r="C265" s="48"/>
      <c r="D265" s="38"/>
      <c r="E265" s="4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48"/>
      <c r="AL265" s="38"/>
      <c r="AM265" s="38"/>
      <c r="AN265" s="38"/>
      <c r="AO265" s="38"/>
      <c r="AP265" s="38"/>
      <c r="AQ265" s="38"/>
      <c r="AR265" s="38"/>
      <c r="AS265" s="38"/>
      <c r="AT265" s="38"/>
      <c r="AU265" s="48"/>
    </row>
    <row r="266" ht="15.75" customHeight="1">
      <c r="A266" s="33"/>
      <c r="B266" s="38"/>
      <c r="C266" s="48"/>
      <c r="D266" s="38"/>
      <c r="E266" s="4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48"/>
      <c r="AL266" s="38"/>
      <c r="AM266" s="38"/>
      <c r="AN266" s="38"/>
      <c r="AO266" s="38"/>
      <c r="AP266" s="38"/>
      <c r="AQ266" s="38"/>
      <c r="AR266" s="38"/>
      <c r="AS266" s="38"/>
      <c r="AT266" s="38"/>
      <c r="AU266" s="48"/>
    </row>
    <row r="267" ht="15.75" customHeight="1">
      <c r="A267" s="33"/>
      <c r="B267" s="38"/>
      <c r="C267" s="48"/>
      <c r="D267" s="38"/>
      <c r="E267" s="4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48"/>
      <c r="AL267" s="38"/>
      <c r="AM267" s="38"/>
      <c r="AN267" s="38"/>
      <c r="AO267" s="38"/>
      <c r="AP267" s="38"/>
      <c r="AQ267" s="38"/>
      <c r="AR267" s="38"/>
      <c r="AS267" s="38"/>
      <c r="AT267" s="38"/>
      <c r="AU267" s="48"/>
    </row>
    <row r="268" ht="15.75" customHeight="1">
      <c r="A268" s="33"/>
      <c r="B268" s="38"/>
      <c r="C268" s="48"/>
      <c r="D268" s="38"/>
      <c r="E268" s="4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48"/>
      <c r="AL268" s="38"/>
      <c r="AM268" s="38"/>
      <c r="AN268" s="38"/>
      <c r="AO268" s="38"/>
      <c r="AP268" s="38"/>
      <c r="AQ268" s="38"/>
      <c r="AR268" s="38"/>
      <c r="AS268" s="38"/>
      <c r="AT268" s="38"/>
      <c r="AU268" s="48"/>
    </row>
    <row r="269" ht="15.75" customHeight="1">
      <c r="A269" s="33"/>
      <c r="B269" s="38"/>
      <c r="C269" s="48"/>
      <c r="D269" s="38"/>
      <c r="E269" s="4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48"/>
      <c r="AL269" s="38"/>
      <c r="AM269" s="38"/>
      <c r="AN269" s="38"/>
      <c r="AO269" s="38"/>
      <c r="AP269" s="38"/>
      <c r="AQ269" s="38"/>
      <c r="AR269" s="38"/>
      <c r="AS269" s="38"/>
      <c r="AT269" s="38"/>
      <c r="AU269" s="48"/>
    </row>
    <row r="270" ht="15.75" customHeight="1">
      <c r="A270" s="33"/>
      <c r="B270" s="38"/>
      <c r="C270" s="48"/>
      <c r="D270" s="38"/>
      <c r="E270" s="4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48"/>
      <c r="AL270" s="38"/>
      <c r="AM270" s="38"/>
      <c r="AN270" s="38"/>
      <c r="AO270" s="38"/>
      <c r="AP270" s="38"/>
      <c r="AQ270" s="38"/>
      <c r="AR270" s="38"/>
      <c r="AS270" s="38"/>
      <c r="AT270" s="38"/>
      <c r="AU270" s="48"/>
    </row>
    <row r="271" ht="15.75" customHeight="1">
      <c r="A271" s="33"/>
      <c r="B271" s="38"/>
      <c r="C271" s="48"/>
      <c r="D271" s="38"/>
      <c r="E271" s="4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48"/>
      <c r="AL271" s="38"/>
      <c r="AM271" s="38"/>
      <c r="AN271" s="38"/>
      <c r="AO271" s="38"/>
      <c r="AP271" s="38"/>
      <c r="AQ271" s="38"/>
      <c r="AR271" s="38"/>
      <c r="AS271" s="38"/>
      <c r="AT271" s="38"/>
      <c r="AU271" s="48"/>
    </row>
    <row r="272" ht="15.75" customHeight="1">
      <c r="A272" s="33"/>
      <c r="B272" s="38"/>
      <c r="C272" s="48"/>
      <c r="D272" s="38"/>
      <c r="E272" s="4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48"/>
      <c r="AL272" s="38"/>
      <c r="AM272" s="38"/>
      <c r="AN272" s="38"/>
      <c r="AO272" s="38"/>
      <c r="AP272" s="38"/>
      <c r="AQ272" s="38"/>
      <c r="AR272" s="38"/>
      <c r="AS272" s="38"/>
      <c r="AT272" s="38"/>
      <c r="AU272" s="48"/>
    </row>
    <row r="273" ht="15.75" customHeight="1">
      <c r="A273" s="33"/>
      <c r="B273" s="38"/>
      <c r="C273" s="48"/>
      <c r="D273" s="38"/>
      <c r="E273" s="4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48"/>
      <c r="AL273" s="38"/>
      <c r="AM273" s="38"/>
      <c r="AN273" s="38"/>
      <c r="AO273" s="38"/>
      <c r="AP273" s="38"/>
      <c r="AQ273" s="38"/>
      <c r="AR273" s="38"/>
      <c r="AS273" s="38"/>
      <c r="AT273" s="38"/>
      <c r="AU273" s="48"/>
    </row>
    <row r="274" ht="15.75" customHeight="1">
      <c r="A274" s="33"/>
      <c r="B274" s="38"/>
      <c r="C274" s="48"/>
      <c r="D274" s="38"/>
      <c r="E274" s="4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48"/>
      <c r="AL274" s="38"/>
      <c r="AM274" s="38"/>
      <c r="AN274" s="38"/>
      <c r="AO274" s="38"/>
      <c r="AP274" s="38"/>
      <c r="AQ274" s="38"/>
      <c r="AR274" s="38"/>
      <c r="AS274" s="38"/>
      <c r="AT274" s="38"/>
      <c r="AU274" s="48"/>
    </row>
    <row r="275" ht="15.75" customHeight="1">
      <c r="A275" s="33"/>
      <c r="B275" s="38"/>
      <c r="C275" s="48"/>
      <c r="D275" s="38"/>
      <c r="E275" s="4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48"/>
      <c r="AL275" s="38"/>
      <c r="AM275" s="38"/>
      <c r="AN275" s="38"/>
      <c r="AO275" s="38"/>
      <c r="AP275" s="38"/>
      <c r="AQ275" s="38"/>
      <c r="AR275" s="38"/>
      <c r="AS275" s="38"/>
      <c r="AT275" s="38"/>
      <c r="AU275" s="48"/>
    </row>
    <row r="276" ht="15.75" customHeight="1">
      <c r="A276" s="33"/>
      <c r="B276" s="38"/>
      <c r="C276" s="48"/>
      <c r="D276" s="38"/>
      <c r="E276" s="4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48"/>
      <c r="AL276" s="38"/>
      <c r="AM276" s="38"/>
      <c r="AN276" s="38"/>
      <c r="AO276" s="38"/>
      <c r="AP276" s="38"/>
      <c r="AQ276" s="38"/>
      <c r="AR276" s="38"/>
      <c r="AS276" s="38"/>
      <c r="AT276" s="38"/>
      <c r="AU276" s="48"/>
    </row>
    <row r="277" ht="15.75" customHeight="1">
      <c r="A277" s="33"/>
      <c r="B277" s="38"/>
      <c r="C277" s="48"/>
      <c r="D277" s="38"/>
      <c r="E277" s="4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48"/>
      <c r="AL277" s="38"/>
      <c r="AM277" s="38"/>
      <c r="AN277" s="38"/>
      <c r="AO277" s="38"/>
      <c r="AP277" s="38"/>
      <c r="AQ277" s="38"/>
      <c r="AR277" s="38"/>
      <c r="AS277" s="38"/>
      <c r="AT277" s="38"/>
      <c r="AU277" s="48"/>
    </row>
    <row r="278" ht="15.75" customHeight="1">
      <c r="A278" s="33"/>
      <c r="B278" s="38"/>
      <c r="C278" s="48"/>
      <c r="D278" s="38"/>
      <c r="E278" s="4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48"/>
      <c r="AL278" s="38"/>
      <c r="AM278" s="38"/>
      <c r="AN278" s="38"/>
      <c r="AO278" s="38"/>
      <c r="AP278" s="38"/>
      <c r="AQ278" s="38"/>
      <c r="AR278" s="38"/>
      <c r="AS278" s="38"/>
      <c r="AT278" s="38"/>
      <c r="AU278" s="48"/>
    </row>
    <row r="279" ht="15.75" customHeight="1">
      <c r="A279" s="33"/>
      <c r="B279" s="38"/>
      <c r="C279" s="48"/>
      <c r="D279" s="38"/>
      <c r="E279" s="4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48"/>
      <c r="AL279" s="38"/>
      <c r="AM279" s="38"/>
      <c r="AN279" s="38"/>
      <c r="AO279" s="38"/>
      <c r="AP279" s="38"/>
      <c r="AQ279" s="38"/>
      <c r="AR279" s="38"/>
      <c r="AS279" s="38"/>
      <c r="AT279" s="38"/>
      <c r="AU279" s="48"/>
    </row>
    <row r="280" ht="15.75" customHeight="1">
      <c r="A280" s="33"/>
      <c r="B280" s="38"/>
      <c r="C280" s="48"/>
      <c r="D280" s="38"/>
      <c r="E280" s="4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48"/>
      <c r="AL280" s="38"/>
      <c r="AM280" s="38"/>
      <c r="AN280" s="38"/>
      <c r="AO280" s="38"/>
      <c r="AP280" s="38"/>
      <c r="AQ280" s="38"/>
      <c r="AR280" s="38"/>
      <c r="AS280" s="38"/>
      <c r="AT280" s="38"/>
      <c r="AU280" s="48"/>
    </row>
    <row r="281" ht="15.75" customHeight="1">
      <c r="A281" s="33"/>
      <c r="B281" s="38"/>
      <c r="C281" s="48"/>
      <c r="D281" s="38"/>
      <c r="E281" s="4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48"/>
      <c r="AL281" s="38"/>
      <c r="AM281" s="38"/>
      <c r="AN281" s="38"/>
      <c r="AO281" s="38"/>
      <c r="AP281" s="38"/>
      <c r="AQ281" s="38"/>
      <c r="AR281" s="38"/>
      <c r="AS281" s="38"/>
      <c r="AT281" s="38"/>
      <c r="AU281" s="48"/>
    </row>
    <row r="282" ht="15.75" customHeight="1">
      <c r="A282" s="33"/>
      <c r="B282" s="38"/>
      <c r="C282" s="48"/>
      <c r="D282" s="38"/>
      <c r="E282" s="4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48"/>
      <c r="AL282" s="38"/>
      <c r="AM282" s="38"/>
      <c r="AN282" s="38"/>
      <c r="AO282" s="38"/>
      <c r="AP282" s="38"/>
      <c r="AQ282" s="38"/>
      <c r="AR282" s="38"/>
      <c r="AS282" s="38"/>
      <c r="AT282" s="38"/>
      <c r="AU282" s="48"/>
    </row>
    <row r="283" ht="15.75" customHeight="1">
      <c r="A283" s="33"/>
      <c r="B283" s="38"/>
      <c r="C283" s="48"/>
      <c r="D283" s="38"/>
      <c r="E283" s="4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48"/>
      <c r="AL283" s="38"/>
      <c r="AM283" s="38"/>
      <c r="AN283" s="38"/>
      <c r="AO283" s="38"/>
      <c r="AP283" s="38"/>
      <c r="AQ283" s="38"/>
      <c r="AR283" s="38"/>
      <c r="AS283" s="38"/>
      <c r="AT283" s="38"/>
      <c r="AU283" s="48"/>
    </row>
    <row r="284" ht="15.75" customHeight="1">
      <c r="A284" s="33"/>
      <c r="B284" s="38"/>
      <c r="C284" s="48"/>
      <c r="D284" s="38"/>
      <c r="E284" s="4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48"/>
      <c r="AL284" s="38"/>
      <c r="AM284" s="38"/>
      <c r="AN284" s="38"/>
      <c r="AO284" s="38"/>
      <c r="AP284" s="38"/>
      <c r="AQ284" s="38"/>
      <c r="AR284" s="38"/>
      <c r="AS284" s="38"/>
      <c r="AT284" s="38"/>
      <c r="AU284" s="48"/>
    </row>
    <row r="285" ht="15.75" customHeight="1">
      <c r="A285" s="33"/>
      <c r="B285" s="38"/>
      <c r="C285" s="48"/>
      <c r="D285" s="38"/>
      <c r="E285" s="4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48"/>
      <c r="AL285" s="38"/>
      <c r="AM285" s="38"/>
      <c r="AN285" s="38"/>
      <c r="AO285" s="38"/>
      <c r="AP285" s="38"/>
      <c r="AQ285" s="38"/>
      <c r="AR285" s="38"/>
      <c r="AS285" s="38"/>
      <c r="AT285" s="38"/>
      <c r="AU285" s="48"/>
    </row>
    <row r="286" ht="15.75" customHeight="1">
      <c r="A286" s="33"/>
      <c r="B286" s="38"/>
      <c r="C286" s="48"/>
      <c r="D286" s="38"/>
      <c r="E286" s="4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48"/>
      <c r="AL286" s="38"/>
      <c r="AM286" s="38"/>
      <c r="AN286" s="38"/>
      <c r="AO286" s="38"/>
      <c r="AP286" s="38"/>
      <c r="AQ286" s="38"/>
      <c r="AR286" s="38"/>
      <c r="AS286" s="38"/>
      <c r="AT286" s="38"/>
      <c r="AU286" s="48"/>
    </row>
    <row r="287" ht="15.75" customHeight="1">
      <c r="A287" s="33"/>
      <c r="B287" s="38"/>
      <c r="C287" s="48"/>
      <c r="D287" s="38"/>
      <c r="E287" s="4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48"/>
      <c r="AL287" s="38"/>
      <c r="AM287" s="38"/>
      <c r="AN287" s="38"/>
      <c r="AO287" s="38"/>
      <c r="AP287" s="38"/>
      <c r="AQ287" s="38"/>
      <c r="AR287" s="38"/>
      <c r="AS287" s="38"/>
      <c r="AT287" s="38"/>
      <c r="AU287" s="48"/>
    </row>
    <row r="288" ht="15.75" customHeight="1">
      <c r="A288" s="33"/>
      <c r="B288" s="38"/>
      <c r="C288" s="48"/>
      <c r="D288" s="38"/>
      <c r="E288" s="4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48"/>
      <c r="AL288" s="38"/>
      <c r="AM288" s="38"/>
      <c r="AN288" s="38"/>
      <c r="AO288" s="38"/>
      <c r="AP288" s="38"/>
      <c r="AQ288" s="38"/>
      <c r="AR288" s="38"/>
      <c r="AS288" s="38"/>
      <c r="AT288" s="38"/>
      <c r="AU288" s="48"/>
    </row>
    <row r="289" ht="15.75" customHeight="1">
      <c r="A289" s="33"/>
      <c r="B289" s="38"/>
      <c r="C289" s="48"/>
      <c r="D289" s="38"/>
      <c r="E289" s="4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48"/>
      <c r="AL289" s="38"/>
      <c r="AM289" s="38"/>
      <c r="AN289" s="38"/>
      <c r="AO289" s="38"/>
      <c r="AP289" s="38"/>
      <c r="AQ289" s="38"/>
      <c r="AR289" s="38"/>
      <c r="AS289" s="38"/>
      <c r="AT289" s="38"/>
      <c r="AU289" s="48"/>
    </row>
    <row r="290" ht="15.75" customHeight="1">
      <c r="A290" s="33"/>
      <c r="B290" s="38"/>
      <c r="C290" s="48"/>
      <c r="D290" s="38"/>
      <c r="E290" s="4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48"/>
      <c r="AL290" s="38"/>
      <c r="AM290" s="38"/>
      <c r="AN290" s="38"/>
      <c r="AO290" s="38"/>
      <c r="AP290" s="38"/>
      <c r="AQ290" s="38"/>
      <c r="AR290" s="38"/>
      <c r="AS290" s="38"/>
      <c r="AT290" s="38"/>
      <c r="AU290" s="48"/>
    </row>
    <row r="291" ht="15.75" customHeight="1">
      <c r="A291" s="33"/>
      <c r="B291" s="38"/>
      <c r="C291" s="48"/>
      <c r="D291" s="38"/>
      <c r="E291" s="4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48"/>
      <c r="AL291" s="38"/>
      <c r="AM291" s="38"/>
      <c r="AN291" s="38"/>
      <c r="AO291" s="38"/>
      <c r="AP291" s="38"/>
      <c r="AQ291" s="38"/>
      <c r="AR291" s="38"/>
      <c r="AS291" s="38"/>
      <c r="AT291" s="38"/>
      <c r="AU291" s="48"/>
    </row>
    <row r="292" ht="15.75" customHeight="1">
      <c r="A292" s="33"/>
      <c r="B292" s="38"/>
      <c r="C292" s="48"/>
      <c r="D292" s="38"/>
      <c r="E292" s="4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48"/>
      <c r="AL292" s="38"/>
      <c r="AM292" s="38"/>
      <c r="AN292" s="38"/>
      <c r="AO292" s="38"/>
      <c r="AP292" s="38"/>
      <c r="AQ292" s="38"/>
      <c r="AR292" s="38"/>
      <c r="AS292" s="38"/>
      <c r="AT292" s="38"/>
      <c r="AU292" s="48"/>
    </row>
    <row r="293" ht="15.75" customHeight="1">
      <c r="A293" s="33"/>
      <c r="B293" s="38"/>
      <c r="C293" s="48"/>
      <c r="D293" s="38"/>
      <c r="E293" s="4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48"/>
      <c r="AL293" s="38"/>
      <c r="AM293" s="38"/>
      <c r="AN293" s="38"/>
      <c r="AO293" s="38"/>
      <c r="AP293" s="38"/>
      <c r="AQ293" s="38"/>
      <c r="AR293" s="38"/>
      <c r="AS293" s="38"/>
      <c r="AT293" s="38"/>
      <c r="AU293" s="48"/>
    </row>
    <row r="294" ht="15.75" customHeight="1">
      <c r="A294" s="33"/>
      <c r="B294" s="38"/>
      <c r="C294" s="48"/>
      <c r="D294" s="38"/>
      <c r="E294" s="4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48"/>
      <c r="AL294" s="38"/>
      <c r="AM294" s="38"/>
      <c r="AN294" s="38"/>
      <c r="AO294" s="38"/>
      <c r="AP294" s="38"/>
      <c r="AQ294" s="38"/>
      <c r="AR294" s="38"/>
      <c r="AS294" s="38"/>
      <c r="AT294" s="38"/>
      <c r="AU294" s="48"/>
    </row>
    <row r="295" ht="15.75" customHeight="1">
      <c r="A295" s="33"/>
      <c r="B295" s="38"/>
      <c r="C295" s="48"/>
      <c r="D295" s="38"/>
      <c r="E295" s="4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48"/>
      <c r="AL295" s="38"/>
      <c r="AM295" s="38"/>
      <c r="AN295" s="38"/>
      <c r="AO295" s="38"/>
      <c r="AP295" s="38"/>
      <c r="AQ295" s="38"/>
      <c r="AR295" s="38"/>
      <c r="AS295" s="38"/>
      <c r="AT295" s="38"/>
      <c r="AU295" s="48"/>
    </row>
    <row r="296" ht="15.75" customHeight="1">
      <c r="A296" s="33"/>
      <c r="B296" s="38"/>
      <c r="C296" s="48"/>
      <c r="D296" s="38"/>
      <c r="E296" s="4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48"/>
      <c r="AL296" s="38"/>
      <c r="AM296" s="38"/>
      <c r="AN296" s="38"/>
      <c r="AO296" s="38"/>
      <c r="AP296" s="38"/>
      <c r="AQ296" s="38"/>
      <c r="AR296" s="38"/>
      <c r="AS296" s="38"/>
      <c r="AT296" s="38"/>
      <c r="AU296" s="48"/>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mergeCells count="7">
    <mergeCell ref="F193:Q193"/>
    <mergeCell ref="V193:AG193"/>
    <mergeCell ref="F201:Q201"/>
    <mergeCell ref="V201:AG201"/>
    <mergeCell ref="AH201:AS201"/>
    <mergeCell ref="F208:Q208"/>
    <mergeCell ref="V208:AG20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7.0"/>
    <col customWidth="1" min="3" max="3" width="20.14"/>
    <col customWidth="1" min="4" max="4" width="38.71"/>
    <col customWidth="1" min="5" max="5" width="12.29"/>
    <col customWidth="1" min="6" max="8" width="8.71"/>
    <col customWidth="1" min="9" max="9" width="12.57"/>
    <col customWidth="1" min="10" max="10" width="34.14"/>
    <col customWidth="1" min="11" max="26" width="8.71"/>
  </cols>
  <sheetData>
    <row r="1">
      <c r="E1" s="250" t="s">
        <v>304</v>
      </c>
    </row>
    <row r="2">
      <c r="B2" s="253" t="s">
        <v>2057</v>
      </c>
      <c r="C2" s="253" t="s">
        <v>2058</v>
      </c>
      <c r="E2" s="369" t="s">
        <v>2059</v>
      </c>
    </row>
    <row r="3">
      <c r="A3" s="7"/>
      <c r="B3" s="370" t="s">
        <v>2060</v>
      </c>
      <c r="C3" s="370" t="s">
        <v>2061</v>
      </c>
    </row>
    <row r="4">
      <c r="A4" s="7"/>
      <c r="B4" s="370"/>
      <c r="C4" s="370" t="s">
        <v>2062</v>
      </c>
    </row>
    <row r="5">
      <c r="A5" s="7"/>
      <c r="B5" s="370"/>
      <c r="C5" s="371"/>
    </row>
    <row r="6">
      <c r="A6" s="7"/>
      <c r="B6" s="370"/>
      <c r="C6" s="371"/>
    </row>
    <row r="7">
      <c r="A7" s="7"/>
      <c r="B7" s="370"/>
      <c r="C7" s="371"/>
    </row>
    <row r="8">
      <c r="A8" s="7"/>
      <c r="B8" s="370"/>
      <c r="C8" s="371"/>
    </row>
    <row r="9">
      <c r="A9" s="7"/>
      <c r="B9" s="370"/>
      <c r="C9" s="371"/>
    </row>
    <row r="10">
      <c r="A10" s="7"/>
      <c r="B10" s="370"/>
      <c r="C10" s="371"/>
    </row>
    <row r="11">
      <c r="A11" s="162" t="s">
        <v>2064</v>
      </c>
      <c r="B11" s="372" t="s">
        <v>2065</v>
      </c>
      <c r="C11" s="373"/>
      <c r="D11" s="374"/>
      <c r="E11" s="374"/>
      <c r="F11" s="374"/>
      <c r="G11" s="374"/>
      <c r="H11" s="374"/>
      <c r="I11" s="374"/>
      <c r="J11" s="374"/>
      <c r="K11" s="374"/>
      <c r="L11" s="374"/>
      <c r="M11" s="374"/>
      <c r="N11" s="374"/>
      <c r="O11" s="374"/>
      <c r="P11" s="374"/>
      <c r="Q11" s="374"/>
      <c r="R11" s="374"/>
      <c r="S11" s="374"/>
      <c r="T11" s="374"/>
      <c r="U11" s="374"/>
      <c r="V11" s="374"/>
      <c r="W11" s="374"/>
      <c r="X11" s="374"/>
      <c r="Y11" s="374"/>
      <c r="Z11" s="374"/>
    </row>
    <row r="12">
      <c r="B12" s="7" t="s">
        <v>46</v>
      </c>
    </row>
    <row r="14">
      <c r="B14" s="7" t="s">
        <v>49</v>
      </c>
      <c r="C14" s="375"/>
    </row>
    <row r="16">
      <c r="B16" s="253" t="s">
        <v>2067</v>
      </c>
    </row>
    <row r="18">
      <c r="J18" s="376"/>
    </row>
    <row r="20">
      <c r="J20" s="377"/>
    </row>
    <row r="21">
      <c r="J21" s="377"/>
    </row>
    <row r="22">
      <c r="D22" s="47"/>
    </row>
    <row r="23">
      <c r="D23" s="47"/>
    </row>
    <row r="24">
      <c r="J24" s="377"/>
    </row>
    <row r="27">
      <c r="B27" s="378"/>
    </row>
    <row r="29" ht="15.75" customHeight="1">
      <c r="C29" s="37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c r="D41" s="47"/>
    </row>
    <row r="42" ht="15.75" customHeight="1">
      <c r="D42" s="47"/>
    </row>
    <row r="43" ht="15.75" customHeight="1"/>
    <row r="44" ht="15.75" customHeight="1"/>
    <row r="45" ht="15.75" customHeight="1"/>
    <row r="46" ht="15.75" customHeight="1">
      <c r="B46" s="378"/>
      <c r="C46" s="375"/>
      <c r="I46" s="379"/>
    </row>
    <row r="47" ht="15.75" customHeight="1">
      <c r="C47" s="375"/>
    </row>
    <row r="48" ht="15.75" customHeight="1">
      <c r="C48" s="375"/>
    </row>
    <row r="49" ht="15.75" customHeight="1"/>
    <row r="50" ht="15.75" customHeight="1"/>
    <row r="51" ht="15.75" customHeight="1"/>
    <row r="52" ht="15.75" customHeight="1"/>
    <row r="53" ht="15.75" customHeight="1"/>
    <row r="54" ht="15.75" customHeight="1"/>
    <row r="55" ht="15.75" customHeight="1">
      <c r="C55" s="235"/>
    </row>
    <row r="56" ht="15.75" customHeight="1"/>
    <row r="57" ht="15.75" customHeight="1"/>
    <row r="58" ht="15.75" customHeight="1">
      <c r="J58" s="47"/>
    </row>
    <row r="59" ht="15.75" customHeight="1">
      <c r="J59" s="380"/>
    </row>
    <row r="60" ht="15.75" customHeight="1">
      <c r="J60" s="380"/>
    </row>
    <row r="61" ht="15.75" customHeight="1">
      <c r="J61" s="47"/>
    </row>
    <row r="62" ht="15.75" customHeight="1">
      <c r="J62" s="47"/>
    </row>
    <row r="63" ht="15.75" customHeight="1">
      <c r="D63" s="47"/>
      <c r="J63" s="47"/>
    </row>
    <row r="64" ht="15.75" customHeight="1">
      <c r="D64" s="47"/>
      <c r="J64" s="47"/>
    </row>
    <row r="65" ht="15.75" customHeight="1"/>
    <row r="66" ht="15.75" customHeight="1"/>
    <row r="67" ht="15.75" customHeight="1"/>
    <row r="68" ht="15.75" customHeight="1"/>
    <row r="69" ht="15.75" customHeight="1">
      <c r="B69" s="378"/>
      <c r="C69" s="250"/>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2024-12-13T02:12:45Z</dcterms:created>
</cp:coreProperties>
</file>